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2AD739BE-D15C-4B7A-955E-D3A0DE4C109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Müşteri için Hesap" sheetId="3" r:id="rId1"/>
    <sheet name="Fiyat Listesi ve Açık Hesap" sheetId="4" r:id="rId2"/>
    <sheet name="Sheet1" sheetId="5" r:id="rId3"/>
  </sheets>
  <definedNames>
    <definedName name="_xlnm._FilterDatabase" localSheetId="1" hidden="1">'Fiyat Listesi ve Açık Hesap'!$A$3:$D$145</definedName>
    <definedName name="BEYAZ">#REF!</definedName>
    <definedName name="D.DÖKÜM_ATROMİX_24kW">#REF!</definedName>
    <definedName name="D.DÖKÜM_NİTROMİX_24kW">#REF!</definedName>
    <definedName name="D.DÖKÜM_NİTROMİX_30kW">#REF!</definedName>
    <definedName name="DAIKIN">#REF!</definedName>
    <definedName name="DAIKIN_CONDANSE_24kW">#REF!</definedName>
    <definedName name="DAIKIN_NDJ_24kW">#REF!</definedName>
    <definedName name="DAIKIN_NDJ_28kW">#REF!</definedName>
    <definedName name="DAIKIN_NDJ_35kW">#REF!</definedName>
    <definedName name="DAIKIN_VZ_24kW">#REF!</definedName>
    <definedName name="DAIKIN_VZ_30kW">#REF!</definedName>
    <definedName name="DAIKIN_VZ_38kW">#REF!</definedName>
    <definedName name="DAYLUX_PREMİX_24kW">#REF!</definedName>
    <definedName name="İNŞAAT">#REF!</definedName>
    <definedName name="KALDE">#REF!</definedName>
    <definedName name="KISA_TESİSAT">#REF!</definedName>
    <definedName name="KOMPLE">#REF!</definedName>
    <definedName name="KROM">#REF!</definedName>
    <definedName name="ÖTELEME">#REF!</definedName>
    <definedName name="PARKE">#REF!</definedName>
    <definedName name="UZUN_TESİSAT">#REF!</definedName>
  </definedNames>
  <calcPr calcId="191028"/>
</workbook>
</file>

<file path=xl/calcChain.xml><?xml version="1.0" encoding="utf-8"?>
<calcChain xmlns="http://schemas.openxmlformats.org/spreadsheetml/2006/main">
  <c r="D32" i="4" l="1"/>
  <c r="D33" i="4"/>
  <c r="D34" i="4"/>
  <c r="D35" i="4"/>
  <c r="D36" i="4"/>
  <c r="D37" i="4"/>
  <c r="D38" i="4"/>
  <c r="D39" i="4"/>
  <c r="D40" i="4"/>
  <c r="D41" i="4"/>
  <c r="D42" i="4"/>
  <c r="D43" i="4"/>
  <c r="M3" i="3"/>
  <c r="M4" i="3"/>
  <c r="M6" i="3"/>
  <c r="M7" i="3"/>
  <c r="M8" i="3"/>
  <c r="M9" i="3"/>
  <c r="M11" i="3"/>
  <c r="M15" i="3"/>
  <c r="M12" i="3"/>
  <c r="M17" i="3"/>
  <c r="F18" i="3"/>
  <c r="J21" i="4" s="1"/>
  <c r="F19" i="3"/>
  <c r="J22" i="4" s="1"/>
  <c r="F20" i="3"/>
  <c r="J23" i="4" s="1"/>
  <c r="F21" i="3"/>
  <c r="J24" i="4" s="1"/>
  <c r="F22" i="3"/>
  <c r="J25" i="4" s="1"/>
  <c r="F23" i="3"/>
  <c r="J26" i="4" s="1"/>
  <c r="F24" i="3"/>
  <c r="J27" i="4" s="1"/>
  <c r="F25" i="3"/>
  <c r="M5" i="3"/>
  <c r="M13" i="3"/>
  <c r="M14" i="3"/>
  <c r="D4" i="4"/>
  <c r="E10" i="3" s="1"/>
  <c r="I11" i="4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M10" i="3"/>
  <c r="M16" i="3"/>
  <c r="M18" i="3"/>
  <c r="E18" i="3"/>
  <c r="I21" i="4" s="1"/>
  <c r="J20" i="4"/>
  <c r="M25" i="3"/>
  <c r="E25" i="3"/>
  <c r="M24" i="3"/>
  <c r="E24" i="3"/>
  <c r="I27" i="4" s="1"/>
  <c r="M23" i="3"/>
  <c r="E23" i="3"/>
  <c r="I26" i="4" s="1"/>
  <c r="M22" i="3"/>
  <c r="E22" i="3"/>
  <c r="I25" i="4" s="1"/>
  <c r="M21" i="3"/>
  <c r="E21" i="3"/>
  <c r="I24" i="4" s="1"/>
  <c r="M20" i="3"/>
  <c r="E20" i="3"/>
  <c r="I23" i="4" s="1"/>
  <c r="M19" i="3"/>
  <c r="E19" i="3"/>
  <c r="I22" i="4" s="1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H6" i="4"/>
  <c r="G6" i="4"/>
  <c r="F6" i="4"/>
  <c r="H5" i="4"/>
  <c r="G5" i="4"/>
  <c r="F5" i="4"/>
  <c r="A3" i="5"/>
  <c r="A2" i="5"/>
  <c r="B2" i="5"/>
  <c r="A4" i="5"/>
  <c r="B25" i="5"/>
  <c r="B24" i="5"/>
  <c r="B23" i="5"/>
  <c r="A25" i="5"/>
  <c r="B22" i="5"/>
  <c r="A24" i="5"/>
  <c r="B21" i="5"/>
  <c r="A23" i="5"/>
  <c r="B20" i="5"/>
  <c r="A22" i="5"/>
  <c r="B19" i="5"/>
  <c r="A21" i="5"/>
  <c r="B18" i="5"/>
  <c r="A20" i="5"/>
  <c r="B17" i="5"/>
  <c r="A19" i="5"/>
  <c r="B16" i="5"/>
  <c r="A18" i="5"/>
  <c r="A17" i="5"/>
  <c r="B15" i="5"/>
  <c r="A16" i="5"/>
  <c r="B14" i="5"/>
  <c r="B13" i="5"/>
  <c r="A15" i="5" s="1"/>
  <c r="B12" i="5"/>
  <c r="A14" i="5"/>
  <c r="B11" i="5"/>
  <c r="A13" i="5" s="1"/>
  <c r="B10" i="5"/>
  <c r="A12" i="5"/>
  <c r="B9" i="5"/>
  <c r="A11" i="5"/>
  <c r="B8" i="5"/>
  <c r="A10" i="5"/>
  <c r="A9" i="5"/>
  <c r="B7" i="5"/>
  <c r="A8" i="5"/>
  <c r="B6" i="5"/>
  <c r="B5" i="5"/>
  <c r="A7" i="5"/>
  <c r="B4" i="5"/>
  <c r="A6" i="5"/>
  <c r="B3" i="5"/>
  <c r="A5" i="5"/>
  <c r="L8" i="4"/>
  <c r="L7" i="4"/>
  <c r="L6" i="4"/>
  <c r="L5" i="4"/>
  <c r="L4" i="4"/>
  <c r="M3" i="4"/>
  <c r="L3" i="4"/>
  <c r="I30" i="4"/>
  <c r="H30" i="4"/>
  <c r="G30" i="4"/>
  <c r="F30" i="4"/>
  <c r="H4" i="4"/>
  <c r="G4" i="4"/>
  <c r="J3" i="4"/>
  <c r="I3" i="4"/>
  <c r="H3" i="4"/>
  <c r="G3" i="4"/>
  <c r="F3" i="4"/>
  <c r="F4" i="4"/>
  <c r="V4" i="4" a="1"/>
  <c r="V4" i="4" s="1"/>
  <c r="U198" i="4" a="1"/>
  <c r="U198" i="4" s="1"/>
  <c r="X198" i="4" s="1"/>
  <c r="U197" i="4" a="1"/>
  <c r="U197" i="4" s="1"/>
  <c r="X197" i="4" s="1"/>
  <c r="U196" i="4" a="1"/>
  <c r="U196" i="4" s="1"/>
  <c r="X196" i="4" s="1"/>
  <c r="U195" i="4" a="1"/>
  <c r="U195" i="4" s="1"/>
  <c r="X195" i="4" s="1"/>
  <c r="U194" i="4" a="1"/>
  <c r="U194" i="4" s="1"/>
  <c r="X194" i="4" s="1"/>
  <c r="U193" i="4" a="1"/>
  <c r="U193" i="4" s="1"/>
  <c r="X193" i="4" s="1"/>
  <c r="U192" i="4" a="1"/>
  <c r="U192" i="4" s="1"/>
  <c r="X192" i="4" s="1"/>
  <c r="U191" i="4" a="1"/>
  <c r="U191" i="4" s="1"/>
  <c r="X191" i="4" s="1"/>
  <c r="U190" i="4" a="1"/>
  <c r="U190" i="4" s="1"/>
  <c r="X190" i="4" s="1"/>
  <c r="U189" i="4" a="1"/>
  <c r="U189" i="4" s="1"/>
  <c r="X189" i="4" s="1"/>
  <c r="U188" i="4" a="1"/>
  <c r="U188" i="4" s="1"/>
  <c r="X188" i="4" s="1"/>
  <c r="U187" i="4" a="1"/>
  <c r="U187" i="4" s="1"/>
  <c r="X187" i="4" s="1"/>
  <c r="U186" i="4" a="1"/>
  <c r="U186" i="4" s="1"/>
  <c r="X186" i="4" s="1"/>
  <c r="U185" i="4" a="1"/>
  <c r="U185" i="4" s="1"/>
  <c r="X185" i="4" s="1"/>
  <c r="U184" i="4" a="1"/>
  <c r="U184" i="4" s="1"/>
  <c r="X184" i="4" s="1"/>
  <c r="U183" i="4" a="1"/>
  <c r="U183" i="4" s="1"/>
  <c r="X183" i="4" s="1"/>
  <c r="U182" i="4" a="1"/>
  <c r="U182" i="4" s="1"/>
  <c r="X182" i="4" s="1"/>
  <c r="U181" i="4" a="1"/>
  <c r="U181" i="4" s="1"/>
  <c r="X181" i="4" s="1"/>
  <c r="U180" i="4" a="1"/>
  <c r="U180" i="4" s="1"/>
  <c r="X180" i="4" s="1"/>
  <c r="U179" i="4" a="1"/>
  <c r="U179" i="4" s="1"/>
  <c r="X179" i="4" s="1"/>
  <c r="U178" i="4" a="1"/>
  <c r="U178" i="4" s="1"/>
  <c r="X178" i="4" s="1"/>
  <c r="U177" i="4" a="1"/>
  <c r="U177" i="4" s="1"/>
  <c r="X177" i="4" s="1"/>
  <c r="U176" i="4" a="1"/>
  <c r="U176" i="4" s="1"/>
  <c r="X176" i="4" s="1"/>
  <c r="U175" i="4" a="1"/>
  <c r="U175" i="4" s="1"/>
  <c r="X175" i="4" s="1"/>
  <c r="U174" i="4" a="1"/>
  <c r="U174" i="4" s="1"/>
  <c r="X174" i="4" s="1"/>
  <c r="U173" i="4" a="1"/>
  <c r="U173" i="4" s="1"/>
  <c r="X173" i="4" s="1"/>
  <c r="U172" i="4" a="1"/>
  <c r="U172" i="4" s="1"/>
  <c r="X172" i="4" s="1"/>
  <c r="U171" i="4" a="1"/>
  <c r="U171" i="4" s="1"/>
  <c r="X171" i="4" s="1"/>
  <c r="U170" i="4" a="1"/>
  <c r="U170" i="4" s="1"/>
  <c r="X170" i="4" s="1"/>
  <c r="U169" i="4" a="1"/>
  <c r="U169" i="4" s="1"/>
  <c r="X169" i="4" s="1"/>
  <c r="U168" i="4" a="1"/>
  <c r="U168" i="4" s="1"/>
  <c r="X168" i="4" s="1"/>
  <c r="U167" i="4" a="1"/>
  <c r="U167" i="4" s="1"/>
  <c r="X167" i="4" s="1"/>
  <c r="U166" i="4" a="1"/>
  <c r="U166" i="4" s="1"/>
  <c r="X166" i="4" s="1"/>
  <c r="U165" i="4" a="1"/>
  <c r="U165" i="4" s="1"/>
  <c r="X165" i="4" s="1"/>
  <c r="U164" i="4" a="1"/>
  <c r="U164" i="4" s="1"/>
  <c r="X164" i="4" s="1"/>
  <c r="U163" i="4" a="1"/>
  <c r="U163" i="4" s="1"/>
  <c r="X163" i="4" s="1"/>
  <c r="U162" i="4" a="1"/>
  <c r="U162" i="4" s="1"/>
  <c r="X162" i="4" s="1"/>
  <c r="U161" i="4" a="1"/>
  <c r="U161" i="4" s="1"/>
  <c r="X161" i="4" s="1"/>
  <c r="U160" i="4" a="1"/>
  <c r="U160" i="4" s="1"/>
  <c r="X160" i="4" s="1"/>
  <c r="U159" i="4" a="1"/>
  <c r="U159" i="4" s="1"/>
  <c r="X159" i="4" s="1"/>
  <c r="U158" i="4" a="1"/>
  <c r="U158" i="4" s="1"/>
  <c r="X158" i="4" s="1"/>
  <c r="U157" i="4" a="1"/>
  <c r="U157" i="4" s="1"/>
  <c r="X157" i="4" s="1"/>
  <c r="U156" i="4" a="1"/>
  <c r="U156" i="4" s="1"/>
  <c r="X156" i="4" s="1"/>
  <c r="U155" i="4" a="1"/>
  <c r="U155" i="4" s="1"/>
  <c r="X155" i="4" s="1"/>
  <c r="U154" i="4" a="1"/>
  <c r="U154" i="4" s="1"/>
  <c r="X154" i="4" s="1"/>
  <c r="U153" i="4" a="1"/>
  <c r="U153" i="4" s="1"/>
  <c r="X153" i="4" s="1"/>
  <c r="U152" i="4" a="1"/>
  <c r="U152" i="4" s="1"/>
  <c r="X152" i="4" s="1"/>
  <c r="U151" i="4" a="1"/>
  <c r="U151" i="4" s="1"/>
  <c r="X151" i="4" s="1"/>
  <c r="U150" i="4" a="1"/>
  <c r="U150" i="4" s="1"/>
  <c r="X150" i="4" s="1"/>
  <c r="U149" i="4" a="1"/>
  <c r="U149" i="4" s="1"/>
  <c r="X149" i="4" s="1"/>
  <c r="U148" i="4" a="1"/>
  <c r="U148" i="4" s="1"/>
  <c r="X148" i="4" s="1"/>
  <c r="U147" i="4" a="1"/>
  <c r="U147" i="4" s="1"/>
  <c r="X147" i="4" s="1"/>
  <c r="U146" i="4" a="1"/>
  <c r="U146" i="4" s="1"/>
  <c r="X146" i="4" s="1"/>
  <c r="U145" i="4" a="1"/>
  <c r="U145" i="4" s="1"/>
  <c r="X145" i="4" s="1"/>
  <c r="U144" i="4" a="1"/>
  <c r="U144" i="4" s="1"/>
  <c r="X144" i="4" s="1"/>
  <c r="U143" i="4" a="1"/>
  <c r="U143" i="4" s="1"/>
  <c r="X143" i="4" s="1"/>
  <c r="U142" i="4" a="1"/>
  <c r="U142" i="4" s="1"/>
  <c r="X142" i="4" s="1"/>
  <c r="U141" i="4" a="1"/>
  <c r="U141" i="4" s="1"/>
  <c r="X141" i="4" s="1"/>
  <c r="U140" i="4" a="1"/>
  <c r="U140" i="4" s="1"/>
  <c r="X140" i="4" s="1"/>
  <c r="U139" i="4" a="1"/>
  <c r="U139" i="4" s="1"/>
  <c r="X139" i="4" s="1"/>
  <c r="U138" i="4" a="1"/>
  <c r="U138" i="4" s="1"/>
  <c r="X138" i="4" s="1"/>
  <c r="U137" i="4" a="1"/>
  <c r="U137" i="4" s="1"/>
  <c r="X137" i="4" s="1"/>
  <c r="U136" i="4" a="1"/>
  <c r="U136" i="4" s="1"/>
  <c r="X136" i="4" s="1"/>
  <c r="U135" i="4" a="1"/>
  <c r="U135" i="4" s="1"/>
  <c r="X135" i="4" s="1"/>
  <c r="U134" i="4" a="1"/>
  <c r="U134" i="4" s="1"/>
  <c r="X134" i="4" s="1"/>
  <c r="U133" i="4" a="1"/>
  <c r="U133" i="4" s="1"/>
  <c r="X133" i="4" s="1"/>
  <c r="U132" i="4" a="1"/>
  <c r="U132" i="4" s="1"/>
  <c r="X132" i="4" s="1"/>
  <c r="U131" i="4" a="1"/>
  <c r="U131" i="4" s="1"/>
  <c r="X131" i="4" s="1"/>
  <c r="U130" i="4" a="1"/>
  <c r="U130" i="4" s="1"/>
  <c r="X130" i="4" s="1"/>
  <c r="U129" i="4" a="1"/>
  <c r="U129" i="4" s="1"/>
  <c r="X129" i="4" s="1"/>
  <c r="U128" i="4" a="1"/>
  <c r="U128" i="4" s="1"/>
  <c r="X128" i="4" s="1"/>
  <c r="U127" i="4" a="1"/>
  <c r="U127" i="4" s="1"/>
  <c r="X127" i="4" s="1"/>
  <c r="U126" i="4" a="1"/>
  <c r="U126" i="4" s="1"/>
  <c r="X126" i="4" s="1"/>
  <c r="U125" i="4" a="1"/>
  <c r="U125" i="4" s="1"/>
  <c r="X125" i="4" s="1"/>
  <c r="U124" i="4" a="1"/>
  <c r="U124" i="4" s="1"/>
  <c r="X124" i="4" s="1"/>
  <c r="U123" i="4" a="1"/>
  <c r="U123" i="4" s="1"/>
  <c r="X123" i="4" s="1"/>
  <c r="U122" i="4" a="1"/>
  <c r="U122" i="4" s="1"/>
  <c r="X122" i="4" s="1"/>
  <c r="U121" i="4" a="1"/>
  <c r="U121" i="4" s="1"/>
  <c r="X121" i="4" s="1"/>
  <c r="U120" i="4" a="1"/>
  <c r="U120" i="4" s="1"/>
  <c r="X120" i="4" s="1"/>
  <c r="U119" i="4" a="1"/>
  <c r="U119" i="4" s="1"/>
  <c r="X119" i="4" s="1"/>
  <c r="U118" i="4" a="1"/>
  <c r="U118" i="4" s="1"/>
  <c r="X118" i="4" s="1"/>
  <c r="U117" i="4" a="1"/>
  <c r="U117" i="4" s="1"/>
  <c r="X117" i="4" s="1"/>
  <c r="U116" i="4" a="1"/>
  <c r="U116" i="4" s="1"/>
  <c r="X116" i="4" s="1"/>
  <c r="U115" i="4" a="1"/>
  <c r="U115" i="4" s="1"/>
  <c r="X115" i="4" s="1"/>
  <c r="U114" i="4" a="1"/>
  <c r="U114" i="4" s="1"/>
  <c r="X114" i="4" s="1"/>
  <c r="U113" i="4" a="1"/>
  <c r="U113" i="4" s="1"/>
  <c r="X113" i="4" s="1"/>
  <c r="U112" i="4" a="1"/>
  <c r="U112" i="4" s="1"/>
  <c r="X112" i="4" s="1"/>
  <c r="U111" i="4" a="1"/>
  <c r="U111" i="4" s="1"/>
  <c r="X111" i="4" s="1"/>
  <c r="U110" i="4" a="1"/>
  <c r="U110" i="4" s="1"/>
  <c r="X110" i="4" s="1"/>
  <c r="U109" i="4" a="1"/>
  <c r="U109" i="4" s="1"/>
  <c r="X109" i="4" s="1"/>
  <c r="U108" i="4" a="1"/>
  <c r="U108" i="4" s="1"/>
  <c r="X108" i="4" s="1"/>
  <c r="U107" i="4" a="1"/>
  <c r="U107" i="4" s="1"/>
  <c r="X107" i="4" s="1"/>
  <c r="U106" i="4" a="1"/>
  <c r="U106" i="4" s="1"/>
  <c r="X106" i="4" s="1"/>
  <c r="U105" i="4" a="1"/>
  <c r="U105" i="4" s="1"/>
  <c r="X105" i="4" s="1"/>
  <c r="U104" i="4" a="1"/>
  <c r="U104" i="4" s="1"/>
  <c r="X104" i="4" s="1"/>
  <c r="U103" i="4" a="1"/>
  <c r="U103" i="4" s="1"/>
  <c r="X103" i="4" s="1"/>
  <c r="U102" i="4" a="1"/>
  <c r="U102" i="4" s="1"/>
  <c r="X102" i="4" s="1"/>
  <c r="U101" i="4" a="1"/>
  <c r="U101" i="4" s="1"/>
  <c r="X101" i="4" s="1"/>
  <c r="U100" i="4" a="1"/>
  <c r="U100" i="4" s="1"/>
  <c r="X100" i="4" s="1"/>
  <c r="U99" i="4" a="1"/>
  <c r="U99" i="4" s="1"/>
  <c r="X99" i="4" s="1"/>
  <c r="U98" i="4" a="1"/>
  <c r="U98" i="4" s="1"/>
  <c r="X98" i="4" s="1"/>
  <c r="U97" i="4" a="1"/>
  <c r="U97" i="4" s="1"/>
  <c r="X97" i="4" s="1"/>
  <c r="U96" i="4" a="1"/>
  <c r="U96" i="4" s="1"/>
  <c r="X96" i="4" s="1"/>
  <c r="U95" i="4" a="1"/>
  <c r="U95" i="4" s="1"/>
  <c r="X95" i="4" s="1"/>
  <c r="U93" i="4" a="1"/>
  <c r="U93" i="4" s="1"/>
  <c r="X93" i="4" s="1"/>
  <c r="U92" i="4" a="1"/>
  <c r="U92" i="4" s="1"/>
  <c r="X92" i="4" s="1"/>
  <c r="U91" i="4" a="1"/>
  <c r="U91" i="4" s="1"/>
  <c r="X91" i="4" s="1"/>
  <c r="U90" i="4" a="1"/>
  <c r="U90" i="4" s="1"/>
  <c r="X90" i="4" s="1"/>
  <c r="U89" i="4" a="1"/>
  <c r="U89" i="4" s="1"/>
  <c r="X89" i="4" s="1"/>
  <c r="U88" i="4" a="1"/>
  <c r="U88" i="4" s="1"/>
  <c r="X88" i="4" s="1"/>
  <c r="U87" i="4" a="1"/>
  <c r="U87" i="4" s="1"/>
  <c r="X87" i="4" s="1"/>
  <c r="U86" i="4" a="1"/>
  <c r="U86" i="4" s="1"/>
  <c r="X86" i="4" s="1"/>
  <c r="U85" i="4" a="1"/>
  <c r="U85" i="4" s="1"/>
  <c r="X85" i="4" s="1"/>
  <c r="U84" i="4" a="1"/>
  <c r="U84" i="4" s="1"/>
  <c r="X84" i="4" s="1"/>
  <c r="U83" i="4" a="1"/>
  <c r="U83" i="4" s="1"/>
  <c r="X83" i="4" s="1"/>
  <c r="U82" i="4" a="1"/>
  <c r="U82" i="4" s="1"/>
  <c r="X82" i="4" s="1"/>
  <c r="U81" i="4" a="1"/>
  <c r="U81" i="4" s="1"/>
  <c r="X81" i="4" s="1"/>
  <c r="U80" i="4" a="1"/>
  <c r="U80" i="4" s="1"/>
  <c r="X80" i="4" s="1"/>
  <c r="U79" i="4" a="1"/>
  <c r="U79" i="4" s="1"/>
  <c r="X79" i="4" s="1"/>
  <c r="U78" i="4" a="1"/>
  <c r="U78" i="4" s="1"/>
  <c r="X78" i="4" s="1"/>
  <c r="U77" i="4" a="1"/>
  <c r="U77" i="4" s="1"/>
  <c r="X77" i="4" s="1"/>
  <c r="U76" i="4" a="1"/>
  <c r="U76" i="4" s="1"/>
  <c r="X76" i="4" s="1"/>
  <c r="U75" i="4" a="1"/>
  <c r="U75" i="4" s="1"/>
  <c r="X75" i="4" s="1"/>
  <c r="U74" i="4" a="1"/>
  <c r="U74" i="4" s="1"/>
  <c r="X74" i="4" s="1"/>
  <c r="U73" i="4" a="1"/>
  <c r="U73" i="4" s="1"/>
  <c r="X73" i="4" s="1"/>
  <c r="U72" i="4" a="1"/>
  <c r="U72" i="4" s="1"/>
  <c r="X72" i="4" s="1"/>
  <c r="U71" i="4" a="1"/>
  <c r="U71" i="4" s="1"/>
  <c r="X71" i="4" s="1"/>
  <c r="U70" i="4" a="1"/>
  <c r="U70" i="4" s="1"/>
  <c r="X70" i="4" s="1"/>
  <c r="U69" i="4" a="1"/>
  <c r="U69" i="4" s="1"/>
  <c r="X69" i="4" s="1"/>
  <c r="U68" i="4" a="1"/>
  <c r="U68" i="4" s="1"/>
  <c r="X68" i="4" s="1"/>
  <c r="U67" i="4" a="1"/>
  <c r="U67" i="4" s="1"/>
  <c r="X67" i="4" s="1"/>
  <c r="U66" i="4" a="1"/>
  <c r="U66" i="4" s="1"/>
  <c r="X66" i="4" s="1"/>
  <c r="U65" i="4" a="1"/>
  <c r="U65" i="4" s="1"/>
  <c r="X65" i="4" s="1"/>
  <c r="U64" i="4" a="1"/>
  <c r="U64" i="4" s="1"/>
  <c r="X64" i="4" s="1"/>
  <c r="U63" i="4" a="1"/>
  <c r="U63" i="4" s="1"/>
  <c r="X63" i="4" s="1"/>
  <c r="U62" i="4" a="1"/>
  <c r="U62" i="4" s="1"/>
  <c r="X62" i="4" s="1"/>
  <c r="U61" i="4" a="1"/>
  <c r="U61" i="4" s="1"/>
  <c r="X61" i="4" s="1"/>
  <c r="U60" i="4" a="1"/>
  <c r="U60" i="4" s="1"/>
  <c r="X60" i="4" s="1"/>
  <c r="U59" i="4" a="1"/>
  <c r="U59" i="4" s="1"/>
  <c r="X59" i="4" s="1"/>
  <c r="U58" i="4" a="1"/>
  <c r="U58" i="4" s="1"/>
  <c r="X58" i="4" s="1"/>
  <c r="U57" i="4" a="1"/>
  <c r="U57" i="4" s="1"/>
  <c r="X57" i="4" s="1"/>
  <c r="U56" i="4" a="1"/>
  <c r="U56" i="4" s="1"/>
  <c r="X56" i="4" s="1"/>
  <c r="U55" i="4" a="1"/>
  <c r="U55" i="4" s="1"/>
  <c r="X55" i="4" s="1"/>
  <c r="U54" i="4" a="1"/>
  <c r="U54" i="4" s="1"/>
  <c r="X54" i="4" s="1"/>
  <c r="U53" i="4" a="1"/>
  <c r="U53" i="4" s="1"/>
  <c r="X53" i="4" s="1"/>
  <c r="U52" i="4" a="1"/>
  <c r="U52" i="4" s="1"/>
  <c r="X52" i="4" s="1"/>
  <c r="U51" i="4" a="1"/>
  <c r="U51" i="4" s="1"/>
  <c r="X51" i="4" s="1"/>
  <c r="U50" i="4" a="1"/>
  <c r="U50" i="4" s="1"/>
  <c r="X50" i="4" s="1"/>
  <c r="U49" i="4" a="1"/>
  <c r="U49" i="4" s="1"/>
  <c r="X49" i="4" s="1"/>
  <c r="U48" i="4" a="1"/>
  <c r="U48" i="4" s="1"/>
  <c r="X48" i="4" s="1"/>
  <c r="U47" i="4" a="1"/>
  <c r="U47" i="4" s="1"/>
  <c r="X47" i="4" s="1"/>
  <c r="U46" i="4" a="1"/>
  <c r="U46" i="4" s="1"/>
  <c r="X46" i="4" s="1"/>
  <c r="U45" i="4" a="1"/>
  <c r="U45" i="4" s="1"/>
  <c r="X45" i="4" s="1"/>
  <c r="U44" i="4" a="1"/>
  <c r="U44" i="4" s="1"/>
  <c r="X44" i="4" s="1"/>
  <c r="U43" i="4" a="1"/>
  <c r="U43" i="4" s="1"/>
  <c r="X43" i="4" s="1"/>
  <c r="U42" i="4" a="1"/>
  <c r="U42" i="4" s="1"/>
  <c r="X42" i="4" s="1"/>
  <c r="U41" i="4" a="1"/>
  <c r="U41" i="4" s="1"/>
  <c r="X41" i="4" s="1"/>
  <c r="U40" i="4" a="1"/>
  <c r="U40" i="4" s="1"/>
  <c r="X40" i="4" s="1"/>
  <c r="U39" i="4" a="1"/>
  <c r="U39" i="4" s="1"/>
  <c r="X39" i="4" s="1"/>
  <c r="U38" i="4" a="1"/>
  <c r="U38" i="4" s="1"/>
  <c r="X38" i="4" s="1"/>
  <c r="U37" i="4" a="1"/>
  <c r="U37" i="4" s="1"/>
  <c r="X37" i="4" s="1"/>
  <c r="U36" i="4" a="1"/>
  <c r="U36" i="4" s="1"/>
  <c r="X36" i="4" s="1"/>
  <c r="U35" i="4" a="1"/>
  <c r="U35" i="4" s="1"/>
  <c r="X35" i="4" s="1"/>
  <c r="U34" i="4" a="1"/>
  <c r="U34" i="4" s="1"/>
  <c r="X34" i="4" s="1"/>
  <c r="U33" i="4" a="1"/>
  <c r="U33" i="4" s="1"/>
  <c r="X33" i="4" s="1"/>
  <c r="U32" i="4" a="1"/>
  <c r="U32" i="4" s="1"/>
  <c r="X32" i="4" s="1"/>
  <c r="U31" i="4" a="1"/>
  <c r="U31" i="4" s="1"/>
  <c r="X31" i="4" s="1"/>
  <c r="U30" i="4" a="1"/>
  <c r="U30" i="4" s="1"/>
  <c r="X30" i="4" s="1"/>
  <c r="U29" i="4" a="1"/>
  <c r="U29" i="4" s="1"/>
  <c r="X29" i="4" s="1"/>
  <c r="U27" i="4" a="1"/>
  <c r="U27" i="4" s="1"/>
  <c r="X27" i="4" s="1"/>
  <c r="U26" i="4" a="1"/>
  <c r="U26" i="4" s="1"/>
  <c r="X26" i="4" s="1"/>
  <c r="U25" i="4" a="1"/>
  <c r="U25" i="4" s="1"/>
  <c r="X25" i="4" s="1"/>
  <c r="U24" i="4" a="1"/>
  <c r="U24" i="4" s="1"/>
  <c r="X24" i="4" s="1"/>
  <c r="U23" i="4" a="1"/>
  <c r="U23" i="4" s="1"/>
  <c r="X23" i="4" s="1"/>
  <c r="U22" i="4" a="1"/>
  <c r="U22" i="4" s="1"/>
  <c r="X22" i="4" s="1"/>
  <c r="U21" i="4" a="1"/>
  <c r="U21" i="4" s="1"/>
  <c r="X21" i="4" s="1"/>
  <c r="U20" i="4" a="1"/>
  <c r="U20" i="4" s="1"/>
  <c r="X20" i="4" s="1"/>
  <c r="U19" i="4" a="1"/>
  <c r="U19" i="4" s="1"/>
  <c r="X19" i="4" s="1"/>
  <c r="U18" i="4" a="1"/>
  <c r="U18" i="4" s="1"/>
  <c r="X18" i="4" s="1"/>
  <c r="U17" i="4" a="1"/>
  <c r="U17" i="4" s="1"/>
  <c r="X17" i="4" s="1"/>
  <c r="U16" i="4" a="1"/>
  <c r="U16" i="4" s="1"/>
  <c r="X16" i="4" s="1"/>
  <c r="U15" i="4" a="1"/>
  <c r="U15" i="4" s="1"/>
  <c r="X15" i="4" s="1"/>
  <c r="U14" i="4" a="1"/>
  <c r="U14" i="4" s="1"/>
  <c r="X14" i="4" s="1"/>
  <c r="U13" i="4" a="1"/>
  <c r="U13" i="4" s="1"/>
  <c r="X13" i="4" s="1"/>
  <c r="U12" i="4" a="1"/>
  <c r="U12" i="4" s="1"/>
  <c r="X12" i="4" s="1"/>
  <c r="U11" i="4" a="1"/>
  <c r="U11" i="4" s="1"/>
  <c r="X11" i="4" s="1"/>
  <c r="U10" i="4" a="1"/>
  <c r="U10" i="4" s="1"/>
  <c r="X10" i="4" s="1"/>
  <c r="U9" i="4" a="1"/>
  <c r="U9" i="4" s="1"/>
  <c r="X9" i="4" s="1"/>
  <c r="U8" i="4" a="1"/>
  <c r="U8" i="4" s="1"/>
  <c r="X8" i="4" s="1"/>
  <c r="U7" i="4" a="1"/>
  <c r="U7" i="4" s="1"/>
  <c r="X7" i="4" s="1"/>
  <c r="U6" i="4" a="1"/>
  <c r="U6" i="4" s="1"/>
  <c r="X6" i="4" s="1"/>
  <c r="U5" i="4" a="1"/>
  <c r="U5" i="4" s="1"/>
  <c r="X5" i="4" s="1"/>
  <c r="U4" i="4" a="1"/>
  <c r="U4" i="4" s="1"/>
  <c r="X4" i="4" s="1"/>
  <c r="I20" i="4"/>
  <c r="J19" i="4"/>
  <c r="I19" i="4"/>
  <c r="Y4" i="4" l="1"/>
  <c r="V5" i="4" a="1"/>
  <c r="V5" i="4" s="1"/>
  <c r="Y5" i="4" s="1"/>
  <c r="Z4" i="4"/>
  <c r="E15" i="3"/>
  <c r="F15" i="3" s="1"/>
  <c r="J16" i="4" s="1"/>
  <c r="E11" i="3"/>
  <c r="F11" i="3" s="1"/>
  <c r="J12" i="4" s="1"/>
  <c r="E9" i="3"/>
  <c r="F9" i="3" s="1"/>
  <c r="J10" i="4" s="1"/>
  <c r="E16" i="3"/>
  <c r="F16" i="3" s="1"/>
  <c r="J17" i="4" s="1"/>
  <c r="E8" i="3"/>
  <c r="F8" i="3" s="1"/>
  <c r="J9" i="4" s="1"/>
  <c r="E14" i="3"/>
  <c r="I15" i="4" s="1"/>
  <c r="E7" i="3"/>
  <c r="E13" i="3"/>
  <c r="E5" i="3"/>
  <c r="F5" i="3" s="1"/>
  <c r="J6" i="4" s="1"/>
  <c r="E6" i="3"/>
  <c r="E17" i="3"/>
  <c r="F17" i="3" s="1"/>
  <c r="J18" i="4" s="1"/>
  <c r="E4" i="3"/>
  <c r="I5" i="4" s="1"/>
  <c r="E12" i="3"/>
  <c r="E3" i="3"/>
  <c r="F3" i="3" s="1"/>
  <c r="J4" i="4" s="1"/>
  <c r="F10" i="3"/>
  <c r="J11" i="4" s="1"/>
  <c r="F14" i="3" l="1"/>
  <c r="J15" i="4" s="1"/>
  <c r="V6" i="4" a="1"/>
  <c r="V6" i="4" s="1"/>
  <c r="Y6" i="4" s="1"/>
  <c r="I17" i="4"/>
  <c r="I10" i="4"/>
  <c r="F4" i="3"/>
  <c r="J5" i="4" s="1"/>
  <c r="I12" i="4"/>
  <c r="I9" i="4"/>
  <c r="F12" i="3"/>
  <c r="J13" i="4" s="1"/>
  <c r="I13" i="4"/>
  <c r="F6" i="3"/>
  <c r="J7" i="4" s="1"/>
  <c r="I7" i="4"/>
  <c r="I14" i="4"/>
  <c r="F13" i="3"/>
  <c r="J14" i="4" s="1"/>
  <c r="I6" i="4"/>
  <c r="I16" i="4"/>
  <c r="F7" i="3"/>
  <c r="J8" i="4" s="1"/>
  <c r="I8" i="4"/>
  <c r="I18" i="4"/>
  <c r="I4" i="4"/>
  <c r="V7" i="4" l="1" a="1"/>
  <c r="V7" i="4" s="1"/>
  <c r="Y7" i="4" s="1"/>
  <c r="F27" i="3"/>
  <c r="J3" i="3" s="1"/>
  <c r="J5" i="3" l="1"/>
  <c r="M6" i="4" s="1"/>
  <c r="J4" i="3"/>
  <c r="M5" i="4" s="1"/>
  <c r="V8" i="4" a="1"/>
  <c r="V8" i="4" s="1"/>
  <c r="Y8" i="4" s="1"/>
  <c r="J6" i="3"/>
  <c r="M7" i="4" s="1"/>
  <c r="J7" i="3"/>
  <c r="M8" i="4" s="1"/>
  <c r="M4" i="4"/>
  <c r="J30" i="4"/>
  <c r="V9" i="4" l="1" a="1"/>
  <c r="V9" i="4" s="1"/>
  <c r="Y9" i="4" s="1"/>
  <c r="V10" i="4" l="1" a="1"/>
  <c r="V10" i="4" s="1"/>
  <c r="Y10" i="4" s="1"/>
  <c r="V11" i="4" l="1" a="1"/>
  <c r="V11" i="4" s="1"/>
  <c r="Y11" i="4" s="1"/>
  <c r="V12" i="4" l="1" a="1"/>
  <c r="V12" i="4" s="1"/>
  <c r="Y12" i="4" s="1"/>
  <c r="V13" i="4" l="1" a="1"/>
  <c r="V13" i="4" s="1"/>
  <c r="Y13" i="4" s="1"/>
  <c r="V14" i="4" l="1" a="1"/>
  <c r="V14" i="4" s="1"/>
  <c r="Y14" i="4" s="1"/>
  <c r="V15" i="4" l="1" a="1"/>
  <c r="V15" i="4" s="1"/>
  <c r="Y15" i="4" s="1"/>
  <c r="V16" i="4" l="1" a="1"/>
  <c r="V16" i="4" s="1"/>
  <c r="Y16" i="4" s="1"/>
  <c r="V17" i="4" l="1" a="1"/>
  <c r="V17" i="4" s="1"/>
  <c r="Y17" i="4" s="1"/>
  <c r="V18" i="4" l="1" a="1"/>
  <c r="V18" i="4" s="1"/>
  <c r="Y18" i="4" s="1"/>
  <c r="V19" i="4" l="1" a="1"/>
  <c r="V19" i="4" s="1"/>
  <c r="Y19" i="4" s="1"/>
  <c r="V20" i="4" l="1" a="1"/>
  <c r="V20" i="4" s="1"/>
  <c r="Y20" i="4" s="1"/>
  <c r="V21" i="4" l="1" a="1"/>
  <c r="V21" i="4" s="1"/>
  <c r="Y21" i="4" s="1"/>
  <c r="V22" i="4" l="1" a="1"/>
  <c r="V22" i="4" s="1"/>
  <c r="Y22" i="4" s="1"/>
  <c r="V23" i="4" l="1" a="1"/>
  <c r="V23" i="4" s="1"/>
  <c r="Y23" i="4" s="1"/>
  <c r="V24" i="4" l="1" a="1"/>
  <c r="V24" i="4" s="1"/>
  <c r="Y24" i="4" s="1"/>
  <c r="V25" i="4" l="1" a="1"/>
  <c r="V25" i="4" s="1"/>
  <c r="Y25" i="4" s="1"/>
  <c r="V26" i="4" l="1" a="1"/>
  <c r="V26" i="4" s="1"/>
  <c r="Y26" i="4" s="1"/>
  <c r="V27" i="4" l="1" a="1"/>
  <c r="V27" i="4" s="1"/>
  <c r="Y27" i="4" s="1"/>
  <c r="V29" i="4" l="1" a="1"/>
  <c r="V29" i="4" s="1"/>
  <c r="Y29" i="4" s="1"/>
  <c r="V30" i="4" l="1" a="1"/>
  <c r="V30" i="4" s="1"/>
  <c r="Y30" i="4" s="1"/>
  <c r="V31" i="4" l="1" a="1"/>
  <c r="V31" i="4" s="1"/>
  <c r="Y31" i="4" s="1"/>
  <c r="V32" i="4" l="1" a="1"/>
  <c r="V32" i="4" s="1"/>
  <c r="Y32" i="4" s="1"/>
  <c r="V33" i="4" l="1" a="1"/>
  <c r="V33" i="4" s="1"/>
  <c r="Y33" i="4" s="1"/>
  <c r="V34" i="4" l="1" a="1"/>
  <c r="V34" i="4" s="1"/>
  <c r="Y34" i="4" s="1"/>
  <c r="V35" i="4" l="1" a="1"/>
  <c r="V35" i="4" s="1"/>
  <c r="Y35" i="4" s="1"/>
  <c r="V36" i="4" l="1" a="1"/>
  <c r="V36" i="4" s="1"/>
  <c r="Y36" i="4" s="1"/>
  <c r="V37" i="4" l="1" a="1"/>
  <c r="V37" i="4" s="1"/>
  <c r="Y37" i="4" s="1"/>
  <c r="V38" i="4" l="1" a="1"/>
  <c r="V38" i="4" s="1"/>
  <c r="Y38" i="4" s="1"/>
  <c r="V39" i="4" l="1" a="1"/>
  <c r="V39" i="4" s="1"/>
  <c r="Y39" i="4" s="1"/>
  <c r="V40" i="4" l="1" a="1"/>
  <c r="V40" i="4" s="1"/>
  <c r="Y40" i="4" s="1"/>
  <c r="V41" i="4" l="1" a="1"/>
  <c r="V41" i="4" s="1"/>
  <c r="Y41" i="4" s="1"/>
  <c r="V42" i="4" l="1" a="1"/>
  <c r="V42" i="4" s="1"/>
  <c r="Y42" i="4" s="1"/>
  <c r="V43" i="4" l="1" a="1"/>
  <c r="V43" i="4" s="1"/>
  <c r="Y43" i="4" s="1"/>
  <c r="V44" i="4" l="1" a="1"/>
  <c r="V44" i="4" s="1"/>
  <c r="Y44" i="4" s="1"/>
  <c r="V45" i="4" l="1" a="1"/>
  <c r="V45" i="4" s="1"/>
  <c r="Y45" i="4" s="1"/>
  <c r="V46" i="4" l="1" a="1"/>
  <c r="V46" i="4" s="1"/>
  <c r="Y46" i="4" s="1"/>
  <c r="V47" i="4" l="1" a="1"/>
  <c r="V47" i="4" s="1"/>
  <c r="Y47" i="4" s="1"/>
  <c r="V48" i="4" l="1" a="1"/>
  <c r="V48" i="4" s="1"/>
  <c r="Y48" i="4" s="1"/>
  <c r="V49" i="4" l="1" a="1"/>
  <c r="V49" i="4" s="1"/>
  <c r="Y49" i="4" s="1"/>
  <c r="V50" i="4" l="1" a="1"/>
  <c r="V50" i="4" s="1"/>
  <c r="Y50" i="4" s="1"/>
  <c r="V51" i="4" l="1" a="1"/>
  <c r="V51" i="4" s="1"/>
  <c r="Y51" i="4" s="1"/>
  <c r="V52" i="4" l="1" a="1"/>
  <c r="V52" i="4" s="1"/>
  <c r="Y52" i="4" s="1"/>
  <c r="V53" i="4" l="1" a="1"/>
  <c r="V53" i="4" s="1"/>
  <c r="Y53" i="4" s="1"/>
  <c r="V54" i="4" l="1" a="1"/>
  <c r="V54" i="4" s="1"/>
  <c r="Y54" i="4" s="1"/>
  <c r="V55" i="4" l="1" a="1"/>
  <c r="V55" i="4" s="1"/>
  <c r="Y55" i="4" s="1"/>
  <c r="V56" i="4" l="1" a="1"/>
  <c r="V56" i="4" s="1"/>
  <c r="Y56" i="4" s="1"/>
  <c r="V57" i="4" l="1" a="1"/>
  <c r="V57" i="4" s="1"/>
  <c r="Y57" i="4" s="1"/>
  <c r="V58" i="4" l="1" a="1"/>
  <c r="V58" i="4" s="1"/>
  <c r="Y58" i="4" s="1"/>
  <c r="V59" i="4" l="1" a="1"/>
  <c r="V59" i="4" s="1"/>
  <c r="Y59" i="4" s="1"/>
  <c r="V60" i="4" l="1" a="1"/>
  <c r="V60" i="4" s="1"/>
  <c r="Y60" i="4" s="1"/>
  <c r="V61" i="4" l="1" a="1"/>
  <c r="V61" i="4" s="1"/>
  <c r="Y61" i="4" s="1"/>
  <c r="V62" i="4" l="1" a="1"/>
  <c r="V62" i="4" s="1"/>
  <c r="Y62" i="4" s="1"/>
  <c r="V63" i="4" l="1" a="1"/>
  <c r="V63" i="4" s="1"/>
  <c r="Y63" i="4" s="1"/>
  <c r="V64" i="4" l="1" a="1"/>
  <c r="V64" i="4" s="1"/>
  <c r="Y64" i="4" s="1"/>
  <c r="V65" i="4" l="1" a="1"/>
  <c r="V65" i="4" s="1"/>
  <c r="Y65" i="4" s="1"/>
  <c r="V66" i="4" l="1" a="1"/>
  <c r="V66" i="4" s="1"/>
  <c r="Y66" i="4" s="1"/>
  <c r="V67" i="4" l="1" a="1"/>
  <c r="V67" i="4" s="1"/>
  <c r="Y67" i="4" s="1"/>
  <c r="V68" i="4" l="1" a="1"/>
  <c r="V68" i="4" s="1"/>
  <c r="Y68" i="4" s="1"/>
  <c r="V69" i="4" l="1" a="1"/>
  <c r="V69" i="4" s="1"/>
  <c r="Y69" i="4" s="1"/>
  <c r="V70" i="4" l="1" a="1"/>
  <c r="V70" i="4" s="1"/>
  <c r="Y70" i="4" s="1"/>
  <c r="V71" i="4" l="1" a="1"/>
  <c r="V71" i="4" s="1"/>
  <c r="Y71" i="4" s="1"/>
  <c r="V72" i="4" l="1" a="1"/>
  <c r="V72" i="4" s="1"/>
  <c r="Y72" i="4" s="1"/>
  <c r="V73" i="4" l="1" a="1"/>
  <c r="V73" i="4" s="1"/>
  <c r="Y73" i="4" s="1"/>
  <c r="V74" i="4" l="1" a="1"/>
  <c r="V74" i="4" s="1"/>
  <c r="Y74" i="4" s="1"/>
  <c r="V75" i="4" l="1" a="1"/>
  <c r="V75" i="4" s="1"/>
  <c r="Y75" i="4" s="1"/>
  <c r="V76" i="4" l="1" a="1"/>
  <c r="V76" i="4" s="1"/>
  <c r="Y76" i="4" s="1"/>
  <c r="V77" i="4" l="1" a="1"/>
  <c r="V77" i="4" s="1"/>
  <c r="Y77" i="4" s="1"/>
  <c r="V78" i="4" l="1" a="1"/>
  <c r="V78" i="4" s="1"/>
  <c r="Y78" i="4" s="1"/>
  <c r="V79" i="4" l="1" a="1"/>
  <c r="V79" i="4" s="1"/>
  <c r="Y79" i="4" s="1"/>
  <c r="V80" i="4" l="1" a="1"/>
  <c r="V80" i="4" s="1"/>
  <c r="Y80" i="4" s="1"/>
  <c r="V81" i="4" l="1" a="1"/>
  <c r="V81" i="4" s="1"/>
  <c r="Y81" i="4" s="1"/>
  <c r="V82" i="4" l="1" a="1"/>
  <c r="V82" i="4" s="1"/>
  <c r="Y82" i="4" s="1"/>
  <c r="V83" i="4" l="1" a="1"/>
  <c r="V83" i="4" s="1"/>
  <c r="Y83" i="4" s="1"/>
  <c r="V84" i="4" l="1" a="1"/>
  <c r="V84" i="4" s="1"/>
  <c r="Y84" i="4" s="1"/>
  <c r="V85" i="4" l="1" a="1"/>
  <c r="V85" i="4" s="1"/>
  <c r="Y85" i="4" s="1"/>
  <c r="V86" i="4" l="1" a="1"/>
  <c r="V86" i="4" s="1"/>
  <c r="Y86" i="4" s="1"/>
  <c r="V87" i="4" l="1" a="1"/>
  <c r="V87" i="4" s="1"/>
  <c r="Y87" i="4" s="1"/>
  <c r="V88" i="4" l="1" a="1"/>
  <c r="V88" i="4" s="1"/>
  <c r="Y88" i="4" s="1"/>
  <c r="V89" i="4" l="1" a="1"/>
  <c r="V89" i="4" s="1"/>
  <c r="Y89" i="4" s="1"/>
  <c r="V90" i="4" l="1" a="1"/>
  <c r="V90" i="4" s="1"/>
  <c r="Y90" i="4" s="1"/>
  <c r="V91" i="4" l="1" a="1"/>
  <c r="V91" i="4" s="1"/>
  <c r="Y91" i="4" s="1"/>
  <c r="V92" i="4" l="1" a="1"/>
  <c r="V92" i="4" s="1"/>
  <c r="Y92" i="4" s="1"/>
  <c r="V93" i="4" l="1" a="1"/>
  <c r="V93" i="4" s="1"/>
  <c r="Y93" i="4" s="1"/>
  <c r="V95" i="4" l="1" a="1"/>
  <c r="V95" i="4" s="1"/>
  <c r="Y95" i="4" s="1"/>
  <c r="V96" i="4" l="1" a="1"/>
  <c r="V96" i="4" s="1"/>
  <c r="Y96" i="4" s="1"/>
  <c r="V97" i="4" l="1" a="1"/>
  <c r="V97" i="4" s="1"/>
  <c r="Y97" i="4" s="1"/>
  <c r="V98" i="4" l="1" a="1"/>
  <c r="V98" i="4" s="1"/>
  <c r="Y98" i="4" s="1"/>
  <c r="V99" i="4" l="1" a="1"/>
  <c r="V99" i="4" s="1"/>
  <c r="Y99" i="4" s="1"/>
  <c r="V100" i="4" l="1" a="1"/>
  <c r="V100" i="4" s="1"/>
  <c r="Y100" i="4" s="1"/>
  <c r="V101" i="4" l="1" a="1"/>
  <c r="V101" i="4" s="1"/>
  <c r="Y101" i="4" s="1"/>
  <c r="V102" i="4" l="1" a="1"/>
  <c r="V102" i="4" s="1"/>
  <c r="Y102" i="4" s="1"/>
  <c r="V103" i="4" l="1" a="1"/>
  <c r="V103" i="4" s="1"/>
  <c r="Y103" i="4" s="1"/>
  <c r="V104" i="4" l="1" a="1"/>
  <c r="V104" i="4" s="1"/>
  <c r="Y104" i="4" s="1"/>
  <c r="V105" i="4" l="1" a="1"/>
  <c r="V105" i="4" s="1"/>
  <c r="Y105" i="4" s="1"/>
  <c r="V106" i="4" l="1" a="1"/>
  <c r="V106" i="4" s="1"/>
  <c r="Y106" i="4" s="1"/>
  <c r="V107" i="4" l="1" a="1"/>
  <c r="V107" i="4" s="1"/>
  <c r="Y107" i="4" s="1"/>
  <c r="V108" i="4" l="1" a="1"/>
  <c r="V108" i="4" s="1"/>
  <c r="Y108" i="4" s="1"/>
  <c r="V109" i="4" l="1" a="1"/>
  <c r="V109" i="4" s="1"/>
  <c r="Y109" i="4" s="1"/>
  <c r="V110" i="4" l="1" a="1"/>
  <c r="V110" i="4" s="1"/>
  <c r="Y110" i="4" s="1"/>
  <c r="V111" i="4" l="1" a="1"/>
  <c r="V111" i="4" s="1"/>
  <c r="Y111" i="4" s="1"/>
  <c r="V112" i="4" l="1" a="1"/>
  <c r="V112" i="4" s="1"/>
  <c r="Y112" i="4" s="1"/>
  <c r="V113" i="4" l="1" a="1"/>
  <c r="V113" i="4" s="1"/>
  <c r="Y113" i="4" s="1"/>
  <c r="V114" i="4" l="1" a="1"/>
  <c r="V114" i="4" s="1"/>
  <c r="Y114" i="4" s="1"/>
  <c r="V115" i="4" l="1" a="1"/>
  <c r="V115" i="4" s="1"/>
  <c r="Y115" i="4" s="1"/>
  <c r="V116" i="4" l="1" a="1"/>
  <c r="V116" i="4" s="1"/>
  <c r="Y116" i="4" s="1"/>
  <c r="V117" i="4" l="1" a="1"/>
  <c r="V117" i="4" s="1"/>
  <c r="Y117" i="4" s="1"/>
  <c r="V118" i="4" l="1" a="1"/>
  <c r="V118" i="4" s="1"/>
  <c r="Y118" i="4" s="1"/>
  <c r="V119" i="4" l="1" a="1"/>
  <c r="V119" i="4" s="1"/>
  <c r="Y119" i="4" s="1"/>
  <c r="V120" i="4" l="1" a="1"/>
  <c r="V120" i="4" s="1"/>
  <c r="Y120" i="4" s="1"/>
  <c r="V121" i="4" l="1" a="1"/>
  <c r="V121" i="4" s="1"/>
  <c r="Y121" i="4" s="1"/>
  <c r="V122" i="4" l="1" a="1"/>
  <c r="V122" i="4" s="1"/>
  <c r="Y122" i="4" s="1"/>
  <c r="V123" i="4" l="1" a="1"/>
  <c r="V123" i="4" s="1"/>
  <c r="Y123" i="4" s="1"/>
  <c r="V124" i="4" l="1" a="1"/>
  <c r="V124" i="4" s="1"/>
  <c r="Y124" i="4" s="1"/>
  <c r="V125" i="4" l="1" a="1"/>
  <c r="V125" i="4" s="1"/>
  <c r="Y125" i="4" s="1"/>
  <c r="V126" i="4" l="1" a="1"/>
  <c r="V126" i="4" s="1"/>
  <c r="Y126" i="4" s="1"/>
  <c r="V127" i="4" l="1" a="1"/>
  <c r="V127" i="4" s="1"/>
  <c r="Y127" i="4" s="1"/>
  <c r="V128" i="4" l="1" a="1"/>
  <c r="V128" i="4" s="1"/>
  <c r="Y128" i="4" s="1"/>
  <c r="V129" i="4" l="1" a="1"/>
  <c r="V129" i="4" s="1"/>
  <c r="Y129" i="4" s="1"/>
  <c r="V130" i="4" l="1" a="1"/>
  <c r="V130" i="4" s="1"/>
  <c r="Y130" i="4" s="1"/>
  <c r="V131" i="4" l="1" a="1"/>
  <c r="V131" i="4" s="1"/>
  <c r="Y131" i="4" s="1"/>
  <c r="V132" i="4" l="1" a="1"/>
  <c r="V132" i="4" s="1"/>
  <c r="Y132" i="4" s="1"/>
  <c r="V133" i="4" l="1" a="1"/>
  <c r="V133" i="4" s="1"/>
  <c r="Y133" i="4" s="1"/>
  <c r="V134" i="4" l="1" a="1"/>
  <c r="V134" i="4" s="1"/>
  <c r="Y134" i="4" s="1"/>
  <c r="V135" i="4" l="1" a="1"/>
  <c r="V135" i="4" s="1"/>
  <c r="Y135" i="4" s="1"/>
  <c r="V136" i="4" l="1" a="1"/>
  <c r="V136" i="4" s="1"/>
  <c r="Y136" i="4" s="1"/>
  <c r="V137" i="4" l="1" a="1"/>
  <c r="V137" i="4" s="1"/>
  <c r="Y137" i="4" s="1"/>
  <c r="V138" i="4" l="1" a="1"/>
  <c r="V138" i="4" s="1"/>
  <c r="Y138" i="4" s="1"/>
  <c r="V139" i="4" l="1" a="1"/>
  <c r="V139" i="4" s="1"/>
  <c r="Y139" i="4" s="1"/>
  <c r="V140" i="4" l="1" a="1"/>
  <c r="V140" i="4" s="1"/>
  <c r="Y140" i="4" s="1"/>
  <c r="V141" i="4" l="1" a="1"/>
  <c r="V141" i="4" s="1"/>
  <c r="Y141" i="4" s="1"/>
  <c r="V142" i="4" l="1" a="1"/>
  <c r="V142" i="4" s="1"/>
  <c r="Y142" i="4" s="1"/>
  <c r="V143" i="4" l="1" a="1"/>
  <c r="V143" i="4" s="1"/>
  <c r="Y143" i="4" s="1"/>
  <c r="V144" i="4" l="1" a="1"/>
  <c r="V144" i="4" s="1"/>
  <c r="Y144" i="4" s="1"/>
  <c r="V145" i="4" l="1" a="1"/>
  <c r="V145" i="4" s="1"/>
  <c r="Y145" i="4" s="1"/>
  <c r="V146" i="4" l="1" a="1"/>
  <c r="V146" i="4" s="1"/>
  <c r="Y146" i="4" s="1"/>
  <c r="V147" i="4" l="1" a="1"/>
  <c r="V147" i="4" s="1"/>
  <c r="Y147" i="4" s="1"/>
  <c r="V148" i="4" l="1" a="1"/>
  <c r="V148" i="4" s="1"/>
  <c r="Y148" i="4" s="1"/>
  <c r="V149" i="4" l="1" a="1"/>
  <c r="V149" i="4" s="1"/>
  <c r="Y149" i="4" s="1"/>
  <c r="V150" i="4" l="1" a="1"/>
  <c r="V150" i="4" s="1"/>
  <c r="Y150" i="4" s="1"/>
  <c r="V151" i="4" l="1" a="1"/>
  <c r="V151" i="4" s="1"/>
  <c r="Y151" i="4" s="1"/>
  <c r="V152" i="4" l="1" a="1"/>
  <c r="V152" i="4" s="1"/>
  <c r="Y152" i="4" s="1"/>
  <c r="V153" i="4" l="1" a="1"/>
  <c r="V153" i="4" s="1"/>
  <c r="Y153" i="4" s="1"/>
  <c r="V154" i="4" l="1" a="1"/>
  <c r="V154" i="4" s="1"/>
  <c r="Y154" i="4" s="1"/>
  <c r="V155" i="4" l="1" a="1"/>
  <c r="V155" i="4" s="1"/>
  <c r="Y155" i="4" s="1"/>
  <c r="V156" i="4" l="1" a="1"/>
  <c r="V156" i="4" s="1"/>
  <c r="Y156" i="4" s="1"/>
  <c r="V157" i="4" l="1" a="1"/>
  <c r="V157" i="4" s="1"/>
  <c r="Y157" i="4" s="1"/>
  <c r="V158" i="4" l="1" a="1"/>
  <c r="V158" i="4" s="1"/>
  <c r="Y158" i="4" s="1"/>
  <c r="V159" i="4" l="1" a="1"/>
  <c r="V159" i="4" s="1"/>
  <c r="Y159" i="4" s="1"/>
  <c r="V160" i="4" l="1" a="1"/>
  <c r="V160" i="4" s="1"/>
  <c r="Y160" i="4" s="1"/>
  <c r="V161" i="4" l="1" a="1"/>
  <c r="V161" i="4" s="1"/>
  <c r="Y161" i="4" s="1"/>
  <c r="V162" i="4" l="1" a="1"/>
  <c r="V162" i="4" s="1"/>
  <c r="Y162" i="4" s="1"/>
  <c r="V163" i="4" l="1" a="1"/>
  <c r="V163" i="4" s="1"/>
  <c r="Y163" i="4" s="1"/>
  <c r="V164" i="4" l="1" a="1"/>
  <c r="V164" i="4" s="1"/>
  <c r="Y164" i="4" s="1"/>
  <c r="V165" i="4" l="1" a="1"/>
  <c r="V165" i="4" s="1"/>
  <c r="Y165" i="4" s="1"/>
  <c r="V166" i="4" l="1" a="1"/>
  <c r="V166" i="4" s="1"/>
  <c r="Y166" i="4" s="1"/>
  <c r="V167" i="4" l="1" a="1"/>
  <c r="V167" i="4" s="1"/>
  <c r="Y167" i="4" s="1"/>
  <c r="V168" i="4" l="1" a="1"/>
  <c r="V168" i="4" s="1"/>
  <c r="Y168" i="4" s="1"/>
  <c r="V169" i="4" l="1" a="1"/>
  <c r="V169" i="4" s="1"/>
  <c r="Y169" i="4" s="1"/>
  <c r="V170" i="4" l="1" a="1"/>
  <c r="V170" i="4" s="1"/>
  <c r="Y170" i="4" s="1"/>
  <c r="V171" i="4" l="1" a="1"/>
  <c r="V171" i="4" s="1"/>
  <c r="Y171" i="4" s="1"/>
  <c r="V172" i="4" l="1" a="1"/>
  <c r="V172" i="4" s="1"/>
  <c r="Y172" i="4" s="1"/>
  <c r="V173" i="4" l="1" a="1"/>
  <c r="V173" i="4" s="1"/>
  <c r="Y173" i="4" s="1"/>
  <c r="V174" i="4" l="1" a="1"/>
  <c r="V174" i="4" s="1"/>
  <c r="Y174" i="4" s="1"/>
  <c r="V175" i="4" l="1" a="1"/>
  <c r="V175" i="4" s="1"/>
  <c r="Y175" i="4" s="1"/>
  <c r="V176" i="4" l="1" a="1"/>
  <c r="V176" i="4" s="1"/>
  <c r="Y176" i="4" s="1"/>
  <c r="V177" i="4" l="1" a="1"/>
  <c r="V177" i="4" s="1"/>
  <c r="Y177" i="4" s="1"/>
  <c r="V178" i="4" l="1" a="1"/>
  <c r="V178" i="4" s="1"/>
  <c r="Y178" i="4" s="1"/>
  <c r="V179" i="4" l="1" a="1"/>
  <c r="V179" i="4" s="1"/>
  <c r="Y179" i="4" s="1"/>
  <c r="V180" i="4" l="1" a="1"/>
  <c r="V180" i="4" s="1"/>
  <c r="Y180" i="4" s="1"/>
  <c r="V181" i="4" l="1" a="1"/>
  <c r="V181" i="4" s="1"/>
  <c r="Y181" i="4" s="1"/>
  <c r="V182" i="4" l="1" a="1"/>
  <c r="V182" i="4" s="1"/>
  <c r="Y182" i="4" s="1"/>
  <c r="V183" i="4" l="1" a="1"/>
  <c r="V183" i="4" s="1"/>
  <c r="Y183" i="4" s="1"/>
  <c r="V184" i="4" l="1" a="1"/>
  <c r="V184" i="4" s="1"/>
  <c r="Y184" i="4" s="1"/>
  <c r="V185" i="4" l="1" a="1"/>
  <c r="V185" i="4" s="1"/>
  <c r="Y185" i="4" s="1"/>
  <c r="V186" i="4" l="1" a="1"/>
  <c r="V186" i="4" s="1"/>
  <c r="Y186" i="4" s="1"/>
  <c r="V187" i="4" l="1" a="1"/>
  <c r="V187" i="4" s="1"/>
  <c r="Y187" i="4" s="1"/>
  <c r="V188" i="4" l="1" a="1"/>
  <c r="V188" i="4" s="1"/>
  <c r="Y188" i="4" s="1"/>
  <c r="V189" i="4" l="1" a="1"/>
  <c r="V189" i="4" s="1"/>
  <c r="Y189" i="4" s="1"/>
  <c r="V190" i="4" l="1" a="1"/>
  <c r="V190" i="4" s="1"/>
  <c r="Y190" i="4" s="1"/>
  <c r="V191" i="4" l="1" a="1"/>
  <c r="V191" i="4" s="1"/>
  <c r="Y191" i="4" s="1"/>
  <c r="V192" i="4" l="1" a="1"/>
  <c r="V192" i="4" s="1"/>
  <c r="Y192" i="4" s="1"/>
  <c r="V193" i="4" l="1" a="1"/>
  <c r="V193" i="4" s="1"/>
  <c r="Y193" i="4" s="1"/>
  <c r="V194" i="4" l="1" a="1"/>
  <c r="V194" i="4" s="1"/>
  <c r="Y194" i="4" s="1"/>
  <c r="V195" i="4" l="1" a="1"/>
  <c r="V195" i="4" s="1"/>
  <c r="Y195" i="4" s="1"/>
  <c r="V196" i="4" l="1" a="1"/>
  <c r="V196" i="4" s="1"/>
  <c r="Y196" i="4" s="1"/>
  <c r="V197" i="4" l="1" a="1"/>
  <c r="V197" i="4" s="1"/>
  <c r="Y197" i="4" s="1"/>
  <c r="V198" i="4" l="1" a="1"/>
  <c r="V198" i="4" s="1"/>
  <c r="Y198" i="4" s="1"/>
  <c r="AA4" i="4" s="1"/>
</calcChain>
</file>

<file path=xl/sharedStrings.xml><?xml version="1.0" encoding="utf-8"?>
<sst xmlns="http://schemas.openxmlformats.org/spreadsheetml/2006/main" count="204" uniqueCount="75">
  <si>
    <t>KALORİFER TESİSATI</t>
  </si>
  <si>
    <t>DOĞALGAZ TESİSATI</t>
  </si>
  <si>
    <t>RADYATÖR</t>
  </si>
  <si>
    <t>RADYATÖR VANASI</t>
  </si>
  <si>
    <t>ODA TERMOSTATI</t>
  </si>
  <si>
    <t>KOMBİ DOLABI</t>
  </si>
  <si>
    <t>HAVLUPAN</t>
  </si>
  <si>
    <t>BACA UZATMASI</t>
  </si>
  <si>
    <t>BACA DİRSEĞİ</t>
  </si>
  <si>
    <t>CAM MENFEZ</t>
  </si>
  <si>
    <t>ELEKTİRİK TESİSATI</t>
  </si>
  <si>
    <t>İŞÇİLİK</t>
  </si>
  <si>
    <t>KOMBİ</t>
  </si>
  <si>
    <t>ESNEK_BORU</t>
  </si>
  <si>
    <t>KALDE</t>
  </si>
  <si>
    <t>KOMPLE</t>
  </si>
  <si>
    <t>KROM</t>
  </si>
  <si>
    <t>BEYAZ</t>
  </si>
  <si>
    <t>Ürünler</t>
  </si>
  <si>
    <t>Fiyatlar</t>
  </si>
  <si>
    <t>Sipariş</t>
  </si>
  <si>
    <t>Adet</t>
  </si>
  <si>
    <t>Fiyat</t>
  </si>
  <si>
    <t>ÖDEME ŞEKLİ</t>
  </si>
  <si>
    <t>FİYAT</t>
  </si>
  <si>
    <t>NAKİT</t>
  </si>
  <si>
    <t>KREDİ KARTI</t>
  </si>
  <si>
    <t>12 AY SENET</t>
  </si>
  <si>
    <t>15 AY SENET</t>
  </si>
  <si>
    <t>18 AY SENET</t>
  </si>
  <si>
    <t>Tip</t>
  </si>
  <si>
    <t>Toplam Tutar</t>
  </si>
  <si>
    <t>Tipi</t>
  </si>
  <si>
    <t>Ürünler ve Tipleri</t>
  </si>
  <si>
    <t>Tip Türleri</t>
  </si>
  <si>
    <t>Concetanate</t>
  </si>
  <si>
    <t>Çoğulları Çıkart(Ürünler)</t>
  </si>
  <si>
    <t>Countif tip(D.V)</t>
  </si>
  <si>
    <t>Countif ürün D.V</t>
  </si>
  <si>
    <t>Sabit Sayı</t>
  </si>
  <si>
    <t>Tip Criteria</t>
  </si>
  <si>
    <t>Ürün Criteria</t>
  </si>
  <si>
    <t>DATABASE</t>
  </si>
  <si>
    <t>GENEL TUTAR AÇIK</t>
  </si>
  <si>
    <t>ECA</t>
  </si>
  <si>
    <t>KOMBİ + GAZ</t>
  </si>
  <si>
    <t>HAZIR</t>
  </si>
  <si>
    <t>TİPLERİ</t>
  </si>
  <si>
    <t>ÇELİK_BORU</t>
  </si>
  <si>
    <t>VAR</t>
  </si>
  <si>
    <t>YOK</t>
  </si>
  <si>
    <t>MONTAJ</t>
  </si>
  <si>
    <t>BOSCH_CONDENCE2200İ_20kW</t>
  </si>
  <si>
    <t>EXTRA ISCILIK</t>
  </si>
  <si>
    <t>ECA_CİTİUS_24kW</t>
  </si>
  <si>
    <t>ECA_CALORA_24kW</t>
  </si>
  <si>
    <t>ECA_CONFEO_PREMİX_24kW</t>
  </si>
  <si>
    <t>ECA_PROTEUS_PREMİX_24kW</t>
  </si>
  <si>
    <t>FİRMA GİDERİ</t>
  </si>
  <si>
    <t>Sütun1</t>
  </si>
  <si>
    <t>Sütun2</t>
  </si>
  <si>
    <t>Sütun3</t>
  </si>
  <si>
    <t>90 DERECE</t>
  </si>
  <si>
    <t>45 DERECE</t>
  </si>
  <si>
    <t>50 CM</t>
  </si>
  <si>
    <t>1 METRE</t>
  </si>
  <si>
    <t>BOSCH_KABLOSUZ_TERMOSTAT</t>
  </si>
  <si>
    <t>ECA_KABLOSUZ_TERMOSTAT</t>
  </si>
  <si>
    <t>WARMHAUS</t>
  </si>
  <si>
    <t>BOSCH_CONDENCE1200İ_20kW</t>
  </si>
  <si>
    <t>ÖTELEME</t>
  </si>
  <si>
    <t>BOSCH_CONDENCE1200İ_24kW</t>
  </si>
  <si>
    <t>AİRFELL_MAESTRO_OPTİMUM_20kW</t>
  </si>
  <si>
    <t>AİRFELL_MAESTRO_OPTİMUM_23kW</t>
  </si>
  <si>
    <t>AİRFELL_KABLOSUZ_TERMOSTAT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</si>
</sst>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charset val="162"/>
      <scheme val="minor"/>
    </font>
    <font>
      <b/>
      <sz val="11"/>
      <color theme="3" tint="0.399975585192419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2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3" fontId="3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3" fontId="4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/>
    <xf numFmtId="0" fontId="2" fillId="3" borderId="1" xfId="0" applyFont="1" applyFill="1" applyBorder="1" applyAlignment="1">
      <alignment horizontal="centerContinuous" vertical="center"/>
    </xf>
    <xf numFmtId="0" fontId="0" fillId="0" borderId="1" xfId="0" applyBorder="1" applyAlignment="1">
      <alignment horizontal="left"/>
    </xf>
    <xf numFmtId="0" fontId="0" fillId="0" borderId="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3" fontId="4" fillId="2" borderId="2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3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0" fillId="3" borderId="0" xfId="0" applyFill="1"/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0" fontId="3" fillId="2" borderId="7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3999755851924192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F67B4-4AF0-914A-A9D5-86FCFAB74FFD}" name="Tablo1" displayName="Tablo1" ref="A2:D145" totalsRowShown="0" headerRowDxfId="5" tableBorderDxfId="4">
  <autoFilter ref="A2:D145" xr:uid="{5277451A-CE0B-2648-90B5-E9D7D670F40D}"/>
  <tableColumns count="4">
    <tableColumn id="1" xr3:uid="{FC97390C-E156-FC44-BA4C-DB3CD058D669}" name="DATABASE" dataDxfId="3"/>
    <tableColumn id="2" xr3:uid="{5C31E255-4EB7-7545-8EA7-493FC01CBEA3}" name="Sütun1" dataDxfId="2"/>
    <tableColumn id="3" xr3:uid="{CF14BC01-2870-814D-975D-9427A66D5636}" name="Sütun2" dataDxfId="1"/>
    <tableColumn id="4" xr3:uid="{DA1D0815-BBDC-0C49-9B2C-522EB54BA7B2}" name="Sütun3" dataDxfId="0">
      <calculatedColumnFormula>IFERROR(IF(AND(LEN(A3)=0,LEN(B3)=0),"",IF(LEN(B3)=0,A3,A3&amp;"-"&amp;B3)),"")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7"/>
  <sheetViews>
    <sheetView tabSelected="1" topLeftCell="B1" zoomScale="125" zoomScaleNormal="85" workbookViewId="0">
      <pane ySplit="2" topLeftCell="A3" activePane="bottomLeft" state="frozen"/>
      <selection activeCell="C1" sqref="C1"/>
      <selection pane="bottomLeft" activeCell="B3" sqref="B3"/>
    </sheetView>
  </sheetViews>
  <sheetFormatPr defaultColWidth="9.140625" defaultRowHeight="15" x14ac:dyDescent="0.25"/>
  <cols>
    <col min="1" max="1" width="0" style="1" hidden="1" customWidth="1"/>
    <col min="2" max="2" width="24.28515625" style="1" bestFit="1" customWidth="1"/>
    <col min="3" max="3" width="33.85546875" style="1" bestFit="1" customWidth="1"/>
    <col min="4" max="4" width="19.5703125" style="1" customWidth="1"/>
    <col min="5" max="6" width="19.5703125" style="1" hidden="1" customWidth="1"/>
    <col min="7" max="7" width="0" style="1" hidden="1" customWidth="1"/>
    <col min="8" max="8" width="9.140625" style="1"/>
    <col min="9" max="9" width="12.7109375" style="1" bestFit="1" customWidth="1"/>
    <col min="10" max="10" width="11.42578125" style="1" customWidth="1"/>
    <col min="11" max="12" width="9.140625" style="1"/>
    <col min="13" max="13" width="47.140625" style="1" hidden="1" customWidth="1"/>
    <col min="14" max="16384" width="9.140625" style="1"/>
  </cols>
  <sheetData>
    <row r="2" spans="2:13" ht="20.100000000000001" customHeight="1" x14ac:dyDescent="0.25">
      <c r="B2" s="8" t="s">
        <v>20</v>
      </c>
      <c r="C2" s="8" t="s">
        <v>30</v>
      </c>
      <c r="D2" s="8" t="s">
        <v>21</v>
      </c>
      <c r="E2" s="8" t="s">
        <v>22</v>
      </c>
      <c r="F2" s="8" t="s">
        <v>31</v>
      </c>
      <c r="G2" s="9"/>
      <c r="H2" s="9"/>
      <c r="I2" s="8" t="s">
        <v>23</v>
      </c>
      <c r="J2" s="8" t="s">
        <v>24</v>
      </c>
      <c r="M2" s="8" t="s">
        <v>35</v>
      </c>
    </row>
    <row r="3" spans="2:13" x14ac:dyDescent="0.25">
      <c r="B3" s="14" t="s">
        <v>12</v>
      </c>
      <c r="C3" s="14" t="s">
        <v>72</v>
      </c>
      <c r="D3" s="17">
        <v>1</v>
      </c>
      <c r="E3" s="5">
        <f>IFERROR(IF(LEN(M3)=0,"",INDEX('Fiyat Listesi ve Açık Hesap'!$C$4:$C$145,MATCH(M3,'Fiyat Listesi ve Açık Hesap'!$D$4:$D$145,0),)),"-")</f>
        <v>22000</v>
      </c>
      <c r="F3" s="41">
        <f t="shared" ref="F3" si="0">IFERROR(IF(LEN(D3)=0,"",E3*D3),"-")</f>
        <v>22000</v>
      </c>
      <c r="I3" s="21" t="s">
        <v>25</v>
      </c>
      <c r="J3" s="5">
        <f>$F$27*1.2</f>
        <v>63564</v>
      </c>
      <c r="M3" s="4" t="str">
        <f>IFERROR(IF(AND(LEN(B3)=0,LEN(C3)=0),"",IF(LEN(C3)=0,B3,B3&amp;"-"&amp;C3)),"")</f>
        <v>KOMBİ-AİRFELL_MAESTRO_OPTİMUM_20kW</v>
      </c>
    </row>
    <row r="4" spans="2:13" x14ac:dyDescent="0.25">
      <c r="B4" s="18" t="s">
        <v>0</v>
      </c>
      <c r="C4" s="37" t="s">
        <v>15</v>
      </c>
      <c r="D4" s="15">
        <v>1</v>
      </c>
      <c r="E4" s="5">
        <f>IFERROR(IF(LEN(M4)=0,"",INDEX('Fiyat Listesi ve Açık Hesap'!$C$4:$C$145,MATCH(M4,'Fiyat Listesi ve Açık Hesap'!$D$4:$D$145,0),)),"-")</f>
        <v>5000</v>
      </c>
      <c r="F4" s="42">
        <f t="shared" ref="F4:F25" si="1">IFERROR(IF(LEN(D4)=0,"",E4*D4),"-")</f>
        <v>5000</v>
      </c>
      <c r="I4" s="21" t="s">
        <v>26</v>
      </c>
      <c r="J4" s="5">
        <f>J3*1.1</f>
        <v>69920.400000000009</v>
      </c>
      <c r="M4" s="4" t="str">
        <f t="shared" ref="M4:M25" si="2">IFERROR(IF(AND(LEN(B4)=0,LEN(C4)=0),"",IF(LEN(C4)=0,B4,B4&amp;"-"&amp;C4)),"")</f>
        <v>KALORİFER TESİSATI-KOMPLE</v>
      </c>
    </row>
    <row r="5" spans="2:13" x14ac:dyDescent="0.25">
      <c r="B5" s="18" t="s">
        <v>1</v>
      </c>
      <c r="C5" s="37" t="s">
        <v>48</v>
      </c>
      <c r="D5" s="15">
        <v>1</v>
      </c>
      <c r="E5" s="5">
        <f>IFERROR(IF(LEN(M5)=0,"",INDEX('Fiyat Listesi ve Açık Hesap'!$C$4:$C$145,MATCH(M5,'Fiyat Listesi ve Açık Hesap'!$D$4:$D$145,0),)),"-")</f>
        <v>4000</v>
      </c>
      <c r="F5" s="42">
        <f t="shared" si="1"/>
        <v>4000</v>
      </c>
      <c r="I5" s="21" t="s">
        <v>27</v>
      </c>
      <c r="J5" s="5">
        <f>J3*1.12</f>
        <v>71191.680000000008</v>
      </c>
      <c r="M5" s="4" t="str">
        <f t="shared" si="2"/>
        <v>DOĞALGAZ TESİSATI-ÇELİK_BORU</v>
      </c>
    </row>
    <row r="6" spans="2:13" x14ac:dyDescent="0.25">
      <c r="B6" s="18" t="s">
        <v>2</v>
      </c>
      <c r="C6" s="37" t="s">
        <v>68</v>
      </c>
      <c r="D6" s="54">
        <v>5</v>
      </c>
      <c r="E6" s="5">
        <f>IFERROR(IF(LEN(M6)=0,"",INDEX('Fiyat Listesi ve Açık Hesap'!$C$4:$C$145,MATCH(M6,'Fiyat Listesi ve Açık Hesap'!$D$4:$D$145,0),)),"-")</f>
        <v>1850</v>
      </c>
      <c r="F6" s="42">
        <f t="shared" si="1"/>
        <v>9250</v>
      </c>
      <c r="I6" s="21" t="s">
        <v>28</v>
      </c>
      <c r="J6" s="5">
        <f>J3*1.15</f>
        <v>73098.599999999991</v>
      </c>
      <c r="M6" s="4" t="str">
        <f t="shared" si="2"/>
        <v>RADYATÖR-WARMHAUS</v>
      </c>
    </row>
    <row r="7" spans="2:13" x14ac:dyDescent="0.25">
      <c r="B7" s="18" t="s">
        <v>3</v>
      </c>
      <c r="C7" s="37" t="s">
        <v>14</v>
      </c>
      <c r="D7" s="15">
        <v>14</v>
      </c>
      <c r="E7" s="5">
        <f>IFERROR(IF(LEN(M7)=0,"",INDEX('Fiyat Listesi ve Açık Hesap'!$C$4:$C$145,MATCH(M7,'Fiyat Listesi ve Açık Hesap'!$D$4:$D$145,0),)),"-")</f>
        <v>105</v>
      </c>
      <c r="F7" s="42">
        <f t="shared" si="1"/>
        <v>1470</v>
      </c>
      <c r="I7" s="21" t="s">
        <v>29</v>
      </c>
      <c r="J7" s="5">
        <f>J3*1.18</f>
        <v>75005.51999999999</v>
      </c>
      <c r="M7" s="4" t="str">
        <f t="shared" si="2"/>
        <v>RADYATÖR VANASI-KALDE</v>
      </c>
    </row>
    <row r="8" spans="2:13" x14ac:dyDescent="0.25">
      <c r="B8" s="18" t="s">
        <v>4</v>
      </c>
      <c r="C8" s="37" t="s">
        <v>74</v>
      </c>
      <c r="D8" s="15">
        <v>1</v>
      </c>
      <c r="E8" s="5">
        <f>IFERROR(IF(LEN(M8)=0,"",INDEX('Fiyat Listesi ve Açık Hesap'!$C$4:$C$145,MATCH(M8,'Fiyat Listesi ve Açık Hesap'!$D$4:$D$145,0),)),"-")</f>
        <v>1000</v>
      </c>
      <c r="F8" s="42">
        <f t="shared" si="1"/>
        <v>1000</v>
      </c>
      <c r="M8" s="4" t="str">
        <f t="shared" si="2"/>
        <v>ODA TERMOSTATI-AİRFELL_KABLOSUZ_TERMOSTAT</v>
      </c>
    </row>
    <row r="9" spans="2:13" x14ac:dyDescent="0.25">
      <c r="B9" s="18" t="s">
        <v>5</v>
      </c>
      <c r="C9" s="37" t="s">
        <v>49</v>
      </c>
      <c r="D9" s="15">
        <v>1</v>
      </c>
      <c r="E9" s="5">
        <f>IFERROR(IF(LEN(M9)=0,"",INDEX('Fiyat Listesi ve Açık Hesap'!$C$4:$C$145,MATCH(M9,'Fiyat Listesi ve Açık Hesap'!$D$4:$D$145,0),)),"-")</f>
        <v>1000</v>
      </c>
      <c r="F9" s="42">
        <f t="shared" si="1"/>
        <v>1000</v>
      </c>
      <c r="M9" s="4" t="str">
        <f t="shared" si="2"/>
        <v>KOMBİ DOLABI-VAR</v>
      </c>
    </row>
    <row r="10" spans="2:13" x14ac:dyDescent="0.25">
      <c r="B10" s="18" t="s">
        <v>6</v>
      </c>
      <c r="C10" s="37" t="s">
        <v>17</v>
      </c>
      <c r="D10" s="15">
        <v>1</v>
      </c>
      <c r="E10" s="5">
        <f>IFERROR(IF(LEN(M10)=0,"",INDEX('Fiyat Listesi ve Açık Hesap'!$C$4:$C$145,MATCH(M10,'Fiyat Listesi ve Açık Hesap'!$D$4:$D$145,0),)),"-")</f>
        <v>750</v>
      </c>
      <c r="F10" s="42">
        <f t="shared" si="1"/>
        <v>750</v>
      </c>
      <c r="M10" s="4" t="str">
        <f t="shared" si="2"/>
        <v>HAVLUPAN-BEYAZ</v>
      </c>
    </row>
    <row r="11" spans="2:13" x14ac:dyDescent="0.25">
      <c r="B11" s="18" t="s">
        <v>7</v>
      </c>
      <c r="C11" s="37" t="s">
        <v>50</v>
      </c>
      <c r="D11" s="15">
        <v>1</v>
      </c>
      <c r="E11" s="5" t="str">
        <f>IFERROR(IF(LEN(M11)=0,"",INDEX('Fiyat Listesi ve Açık Hesap'!$C$4:$C$145,MATCH(M11,'Fiyat Listesi ve Açık Hesap'!$D$4:$D$145,0),)),"-")</f>
        <v>-</v>
      </c>
      <c r="F11" s="42" t="str">
        <f t="shared" si="1"/>
        <v>-</v>
      </c>
      <c r="M11" s="4" t="str">
        <f t="shared" si="2"/>
        <v>BACA UZATMASI-YOK</v>
      </c>
    </row>
    <row r="12" spans="2:13" x14ac:dyDescent="0.25">
      <c r="B12" s="18" t="s">
        <v>8</v>
      </c>
      <c r="C12" s="37" t="s">
        <v>50</v>
      </c>
      <c r="D12" s="15">
        <v>1</v>
      </c>
      <c r="E12" s="5">
        <f>IFERROR(IF(LEN(M12)=0,"",INDEX('Fiyat Listesi ve Açık Hesap'!$C$4:$C$145,MATCH(M12,'Fiyat Listesi ve Açık Hesap'!$D$4:$D$145,0),)),"-")</f>
        <v>0</v>
      </c>
      <c r="F12" s="42">
        <f t="shared" si="1"/>
        <v>0</v>
      </c>
      <c r="M12" s="4" t="str">
        <f t="shared" si="2"/>
        <v>BACA DİRSEĞİ-YOK</v>
      </c>
    </row>
    <row r="13" spans="2:13" x14ac:dyDescent="0.25">
      <c r="B13" s="18" t="s">
        <v>9</v>
      </c>
      <c r="C13" s="37" t="s">
        <v>49</v>
      </c>
      <c r="D13" s="15">
        <v>1</v>
      </c>
      <c r="E13" s="5">
        <f>IFERROR(IF(LEN(M13)=0,"",INDEX('Fiyat Listesi ve Açık Hesap'!$C$4:$C$145,MATCH(M13,'Fiyat Listesi ve Açık Hesap'!$D$4:$D$145,0),)),"-")</f>
        <v>250</v>
      </c>
      <c r="F13" s="42">
        <f t="shared" si="1"/>
        <v>250</v>
      </c>
      <c r="M13" s="4" t="str">
        <f t="shared" si="2"/>
        <v>CAM MENFEZ-VAR</v>
      </c>
    </row>
    <row r="14" spans="2:13" x14ac:dyDescent="0.25">
      <c r="B14" s="18" t="s">
        <v>10</v>
      </c>
      <c r="C14" s="37" t="s">
        <v>49</v>
      </c>
      <c r="D14" s="15">
        <v>1</v>
      </c>
      <c r="E14" s="5">
        <f>IFERROR(IF(LEN(M14)=0,"",INDEX('Fiyat Listesi ve Açık Hesap'!$C$4:$C$145,MATCH(M14,'Fiyat Listesi ve Açık Hesap'!$D$4:$D$145,0),)),"-")</f>
        <v>250</v>
      </c>
      <c r="F14" s="42">
        <f t="shared" si="1"/>
        <v>250</v>
      </c>
      <c r="M14" s="4" t="str">
        <f t="shared" si="2"/>
        <v>ELEKTİRİK TESİSATI-VAR</v>
      </c>
    </row>
    <row r="15" spans="2:13" x14ac:dyDescent="0.25">
      <c r="B15" s="18" t="s">
        <v>11</v>
      </c>
      <c r="C15" s="37" t="s">
        <v>15</v>
      </c>
      <c r="D15" s="15">
        <v>1</v>
      </c>
      <c r="E15" s="5">
        <f>IFERROR(IF(LEN(M15)=0,"",INDEX('Fiyat Listesi ve Açık Hesap'!$C$4:$C$145,MATCH(M15,'Fiyat Listesi ve Açık Hesap'!$D$4:$D$145,0),)),"-")</f>
        <v>7000</v>
      </c>
      <c r="F15" s="42">
        <f t="shared" si="1"/>
        <v>7000</v>
      </c>
      <c r="M15" s="4" t="str">
        <f t="shared" si="2"/>
        <v>İŞÇİLİK-KOMPLE</v>
      </c>
    </row>
    <row r="16" spans="2:13" x14ac:dyDescent="0.25">
      <c r="B16" s="19" t="s">
        <v>58</v>
      </c>
      <c r="C16" s="38" t="s">
        <v>49</v>
      </c>
      <c r="D16" s="20">
        <v>1</v>
      </c>
      <c r="E16" s="7">
        <f>IFERROR(IF(LEN(M16)=0,"",INDEX('Fiyat Listesi ve Açık Hesap'!$C$4:$C$145,MATCH(M16,'Fiyat Listesi ve Açık Hesap'!$D$4:$D$145,0),)),"-")</f>
        <v>1000</v>
      </c>
      <c r="F16" s="43">
        <f t="shared" si="1"/>
        <v>1000</v>
      </c>
      <c r="M16" s="4" t="str">
        <f t="shared" si="2"/>
        <v>FİRMA GİDERİ-VAR</v>
      </c>
    </row>
    <row r="17" spans="2:13" x14ac:dyDescent="0.25">
      <c r="B17" s="18" t="s">
        <v>7</v>
      </c>
      <c r="C17" s="37" t="s">
        <v>50</v>
      </c>
      <c r="D17" s="15">
        <v>1</v>
      </c>
      <c r="E17" s="5" t="str">
        <f>IFERROR(IF(LEN(M17)=0,"",INDEX('Fiyat Listesi ve Açık Hesap'!$C$4:$C$145,MATCH(M17,'Fiyat Listesi ve Açık Hesap'!$D$4:$D$145,0),)),"-")</f>
        <v>-</v>
      </c>
      <c r="F17" s="42" t="str">
        <f t="shared" si="1"/>
        <v>-</v>
      </c>
      <c r="M17" s="4" t="str">
        <f t="shared" si="2"/>
        <v>BACA UZATMASI-YOK</v>
      </c>
    </row>
    <row r="18" spans="2:13" x14ac:dyDescent="0.25">
      <c r="B18" s="18"/>
      <c r="C18" s="37"/>
      <c r="D18" s="15"/>
      <c r="E18" s="5" t="str">
        <f>IFERROR(IF(LEN(M18)=0,"",INDEX('Fiyat Listesi ve Açık Hesap'!$C$4:$C$145,MATCH(M18,'Fiyat Listesi ve Açık Hesap'!$D$4:$D$145,0),)),"-")</f>
        <v/>
      </c>
      <c r="F18" s="42" t="str">
        <f t="shared" si="1"/>
        <v/>
      </c>
      <c r="M18" s="4" t="str">
        <f t="shared" si="2"/>
        <v/>
      </c>
    </row>
    <row r="19" spans="2:13" x14ac:dyDescent="0.25">
      <c r="B19" s="18"/>
      <c r="C19" s="37"/>
      <c r="D19" s="15"/>
      <c r="E19" s="5" t="str">
        <f>IFERROR(IF(LEN(M19)=0,"",INDEX('Fiyat Listesi ve Açık Hesap'!$C$4:$C$145,MATCH(M19,'Fiyat Listesi ve Açık Hesap'!$D$4:$D$145,0),)),"-")</f>
        <v/>
      </c>
      <c r="F19" s="42" t="str">
        <f t="shared" si="1"/>
        <v/>
      </c>
      <c r="M19" s="4" t="str">
        <f t="shared" si="2"/>
        <v/>
      </c>
    </row>
    <row r="20" spans="2:13" x14ac:dyDescent="0.25">
      <c r="B20" s="18"/>
      <c r="C20" s="37"/>
      <c r="D20" s="15"/>
      <c r="E20" s="5" t="str">
        <f>IFERROR(IF(LEN(M20)=0,"",INDEX('Fiyat Listesi ve Açık Hesap'!$C$4:$C$145,MATCH(M20,'Fiyat Listesi ve Açık Hesap'!$D$4:$D$145,0),)),"-")</f>
        <v/>
      </c>
      <c r="F20" s="42" t="str">
        <f t="shared" si="1"/>
        <v/>
      </c>
      <c r="M20" s="4" t="str">
        <f t="shared" si="2"/>
        <v/>
      </c>
    </row>
    <row r="21" spans="2:13" x14ac:dyDescent="0.25">
      <c r="B21" s="18"/>
      <c r="C21" s="37"/>
      <c r="D21" s="15"/>
      <c r="E21" s="5" t="str">
        <f>IFERROR(IF(LEN(M21)=0,"",INDEX('Fiyat Listesi ve Açık Hesap'!$C$4:$C$145,MATCH(M21,'Fiyat Listesi ve Açık Hesap'!$D$4:$D$145,0),)),"-")</f>
        <v/>
      </c>
      <c r="F21" s="42" t="str">
        <f t="shared" si="1"/>
        <v/>
      </c>
      <c r="M21" s="4" t="str">
        <f t="shared" si="2"/>
        <v/>
      </c>
    </row>
    <row r="22" spans="2:13" x14ac:dyDescent="0.25">
      <c r="B22" s="18"/>
      <c r="C22" s="37"/>
      <c r="D22" s="15"/>
      <c r="E22" s="5" t="str">
        <f>IFERROR(IF(LEN(M22)=0,"",INDEX('Fiyat Listesi ve Açık Hesap'!$C$4:$C$145,MATCH(M22,'Fiyat Listesi ve Açık Hesap'!$D$4:$D$145,0),)),"-")</f>
        <v/>
      </c>
      <c r="F22" s="42" t="str">
        <f t="shared" si="1"/>
        <v/>
      </c>
      <c r="M22" s="4" t="str">
        <f t="shared" si="2"/>
        <v/>
      </c>
    </row>
    <row r="23" spans="2:13" x14ac:dyDescent="0.25">
      <c r="B23" s="18"/>
      <c r="C23" s="37"/>
      <c r="D23" s="15"/>
      <c r="E23" s="5" t="str">
        <f>IFERROR(IF(LEN(M23)=0,"",INDEX('Fiyat Listesi ve Açık Hesap'!$C$4:$C$145,MATCH(M23,'Fiyat Listesi ve Açık Hesap'!$D$4:$D$145,0),)),"-")</f>
        <v/>
      </c>
      <c r="F23" s="42" t="str">
        <f t="shared" si="1"/>
        <v/>
      </c>
      <c r="M23" s="4" t="str">
        <f t="shared" si="2"/>
        <v/>
      </c>
    </row>
    <row r="24" spans="2:13" x14ac:dyDescent="0.25">
      <c r="B24" s="18"/>
      <c r="C24" s="37"/>
      <c r="D24" s="15"/>
      <c r="E24" s="5" t="str">
        <f>IFERROR(IF(LEN(M24)=0,"",INDEX('Fiyat Listesi ve Açık Hesap'!$C$4:$C$145,MATCH(M24,'Fiyat Listesi ve Açık Hesap'!$D$4:$D$145,0),)),"-")</f>
        <v/>
      </c>
      <c r="F24" s="42" t="str">
        <f t="shared" si="1"/>
        <v/>
      </c>
      <c r="M24" s="4" t="str">
        <f t="shared" si="2"/>
        <v/>
      </c>
    </row>
    <row r="25" spans="2:13" x14ac:dyDescent="0.25">
      <c r="B25" s="18"/>
      <c r="C25" s="37"/>
      <c r="D25" s="15"/>
      <c r="E25" s="5" t="str">
        <f>IFERROR(IF(LEN(M25)=0,"",INDEX('Fiyat Listesi ve Açık Hesap'!$C$4:$C$145,MATCH(M25,'Fiyat Listesi ve Açık Hesap'!$D$4:$D$145,0),)),"-")</f>
        <v/>
      </c>
      <c r="F25" s="42" t="str">
        <f t="shared" si="1"/>
        <v/>
      </c>
      <c r="M25" s="4" t="str">
        <f t="shared" si="2"/>
        <v/>
      </c>
    </row>
    <row r="26" spans="2:13" x14ac:dyDescent="0.25">
      <c r="F26" s="6"/>
    </row>
    <row r="27" spans="2:13" x14ac:dyDescent="0.25">
      <c r="E27" s="2" t="s">
        <v>31</v>
      </c>
      <c r="F27" s="10">
        <f>IFERROR(SUM($F$3:$F$25),"-")</f>
        <v>52970</v>
      </c>
    </row>
  </sheetData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23C574E-034E-4331-B4CC-987BF9DFACD8}">
          <x14:formula1>
            <xm:f>OFFSET(INDEX(Sheet1!$C$2:$C$25,MATCH($B$3,Sheet1!$C$2:$C$25,0)),,1,1,INDEX(Sheet1!$B$2:$B$25,MATCH($B$3,Sheet1!$C$2:$C$25,0)))</xm:f>
          </x14:formula1>
          <xm:sqref>C3</xm:sqref>
        </x14:dataValidation>
        <x14:dataValidation type="list" allowBlank="1" showInputMessage="1" showErrorMessage="1" xr:uid="{00000000-0002-0000-0000-000000000000}">
          <x14:formula1>
            <xm:f>OFFSET('Fiyat Listesi ve Açık Hesap'!$V$4,,,'Fiyat Listesi ve Açık Hesap'!$AA$4,1)</xm:f>
          </x14:formula1>
          <xm:sqref>B3:B25</xm:sqref>
        </x14:dataValidation>
        <x14:dataValidation type="list" allowBlank="1" showInputMessage="1" showErrorMessage="1" xr:uid="{46C20A41-2C59-4E53-9CC6-6CF8D7A58A23}">
          <x14:formula1>
            <xm:f>OFFSET(INDEX(Sheet1!$C$2:$C$25,MATCH(B4,Sheet1!$C$2:$C$25,0)),,1,1,INDEX(Sheet1!$B$2:$B$25,MATCH(B4,Sheet1!$C$2:$C$25,0)))</xm:f>
          </x14:formula1>
          <xm:sqref>C4:C25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199"/>
  <sheetViews>
    <sheetView zoomScale="85" zoomScaleNormal="85" workbookViewId="0">
      <pane ySplit="3" topLeftCell="A4" activePane="bottomLeft" state="frozen"/>
      <selection activeCell="H1" sqref="H1"/>
      <selection pane="bottomLeft" activeCell="C40" sqref="C40"/>
    </sheetView>
  </sheetViews>
  <sheetFormatPr defaultColWidth="9.140625" defaultRowHeight="15" x14ac:dyDescent="0.25"/>
  <cols>
    <col min="1" max="1" width="24.28515625" style="1" bestFit="1" customWidth="1"/>
    <col min="2" max="2" width="34.7109375" style="1" bestFit="1" customWidth="1"/>
    <col min="3" max="3" width="17.85546875" style="1" customWidth="1"/>
    <col min="4" max="4" width="53" style="1" customWidth="1"/>
    <col min="5" max="5" width="9.140625" style="1"/>
    <col min="6" max="6" width="24" style="1" bestFit="1" customWidth="1"/>
    <col min="7" max="7" width="30" style="1" bestFit="1" customWidth="1"/>
    <col min="8" max="8" width="5.140625" style="1" bestFit="1" customWidth="1"/>
    <col min="9" max="10" width="12.7109375" style="1" bestFit="1" customWidth="1"/>
    <col min="11" max="11" width="9.140625" style="1"/>
    <col min="12" max="12" width="12.7109375" style="1" bestFit="1" customWidth="1"/>
    <col min="13" max="13" width="6.42578125" style="1" bestFit="1" customWidth="1"/>
    <col min="14" max="18" width="6.42578125" style="1" customWidth="1"/>
    <col min="19" max="20" width="6.42578125" style="1" hidden="1" customWidth="1"/>
    <col min="21" max="21" width="26.140625" style="6" hidden="1" customWidth="1"/>
    <col min="22" max="22" width="24.28515625" style="6" hidden="1" customWidth="1"/>
    <col min="23" max="23" width="9.5703125" style="6" hidden="1" customWidth="1"/>
    <col min="24" max="24" width="10.5703125" style="6" hidden="1" customWidth="1"/>
    <col min="25" max="25" width="12.5703125" style="6" hidden="1" customWidth="1"/>
    <col min="26" max="26" width="15.140625" style="6" hidden="1" customWidth="1"/>
    <col min="27" max="27" width="15.85546875" style="6" hidden="1" customWidth="1"/>
    <col min="28" max="28" width="0" style="1" hidden="1" customWidth="1"/>
    <col min="29" max="16384" width="9.140625" style="1"/>
  </cols>
  <sheetData>
    <row r="2" spans="1:27" x14ac:dyDescent="0.25">
      <c r="A2" s="46" t="s">
        <v>42</v>
      </c>
      <c r="B2" s="1" t="s">
        <v>59</v>
      </c>
      <c r="C2" s="1" t="s">
        <v>60</v>
      </c>
      <c r="D2" s="1" t="s">
        <v>61</v>
      </c>
      <c r="F2" s="8" t="s">
        <v>43</v>
      </c>
    </row>
    <row r="3" spans="1:27" s="9" customFormat="1" ht="20.100000000000001" customHeight="1" x14ac:dyDescent="0.25">
      <c r="A3" s="47" t="s">
        <v>18</v>
      </c>
      <c r="B3" s="8" t="s">
        <v>32</v>
      </c>
      <c r="C3" s="8" t="s">
        <v>19</v>
      </c>
      <c r="D3" s="8" t="s">
        <v>33</v>
      </c>
      <c r="F3" s="8" t="str">
        <f>IFERROR(IF(LEN('Müşteri için Hesap'!B2)=0,"",'Müşteri için Hesap'!B2),"-")</f>
        <v>Sipariş</v>
      </c>
      <c r="G3" s="8" t="str">
        <f>IFERROR(IF(LEN('Müşteri için Hesap'!C2)=0,"",'Müşteri için Hesap'!C2),"-")</f>
        <v>Tip</v>
      </c>
      <c r="H3" s="8" t="str">
        <f>IFERROR(IF(LEN('Müşteri için Hesap'!D2)=0,"",'Müşteri için Hesap'!D2),"-")</f>
        <v>Adet</v>
      </c>
      <c r="I3" s="8" t="str">
        <f>IFERROR(IF(LEN('Müşteri için Hesap'!E2)=0,"",'Müşteri için Hesap'!E2),"-")</f>
        <v>Fiyat</v>
      </c>
      <c r="J3" s="8" t="str">
        <f>IFERROR(IF(LEN('Müşteri için Hesap'!F2)=0,"",'Müşteri için Hesap'!F2),"-")</f>
        <v>Toplam Tutar</v>
      </c>
      <c r="L3" s="8" t="str">
        <f>IFERROR(IF(LEN('Müşteri için Hesap'!I2)=0,"",'Müşteri için Hesap'!I2),"-")</f>
        <v>ÖDEME ŞEKLİ</v>
      </c>
      <c r="M3" s="8" t="str">
        <f>IFERROR(IF(LEN('Müşteri için Hesap'!J2)=0,"",'Müşteri için Hesap'!J2),"-")</f>
        <v>FİYAT</v>
      </c>
      <c r="N3" s="24"/>
      <c r="O3" s="25"/>
      <c r="P3" s="25"/>
      <c r="Q3" s="25"/>
      <c r="R3" s="25"/>
      <c r="S3" s="25"/>
      <c r="T3" s="26"/>
      <c r="U3" s="8" t="s">
        <v>34</v>
      </c>
      <c r="V3" s="8" t="s">
        <v>36</v>
      </c>
      <c r="W3" s="8" t="s">
        <v>39</v>
      </c>
      <c r="X3" s="8" t="s">
        <v>40</v>
      </c>
      <c r="Y3" s="8" t="s">
        <v>41</v>
      </c>
      <c r="Z3" s="8" t="s">
        <v>37</v>
      </c>
      <c r="AA3" s="8" t="s">
        <v>38</v>
      </c>
    </row>
    <row r="4" spans="1:27" x14ac:dyDescent="0.25">
      <c r="A4" s="48" t="s">
        <v>8</v>
      </c>
      <c r="B4" s="15" t="s">
        <v>62</v>
      </c>
      <c r="C4" s="16">
        <v>1000</v>
      </c>
      <c r="D4" s="3" t="str">
        <f>IFERROR(IF(AND(LEN(A4)=0,LEN(B4)=0),"",IF(LEN(B4)=0,A4,A4&amp;"-"&amp;B4)),"")</f>
        <v>BACA DİRSEĞİ-90 DERECE</v>
      </c>
      <c r="F4" s="3" t="str">
        <f>IFERROR(IF(LEN('Müşteri için Hesap'!B3)=0,"",'Müşteri için Hesap'!B3),"-")</f>
        <v>KOMBİ</v>
      </c>
      <c r="G4" s="3" t="str">
        <f>IFERROR(IF(LEN('Müşteri için Hesap'!C3)=0,"",'Müşteri için Hesap'!C3),"-")</f>
        <v>AİRFELL_MAESTRO_OPTİMUM_20kW</v>
      </c>
      <c r="H4" s="5">
        <f>IFERROR(IF(LEN('Müşteri için Hesap'!D3)=0,"",'Müşteri için Hesap'!D3),"-")</f>
        <v>1</v>
      </c>
      <c r="I4" s="5">
        <f>IFERROR(IF(LEN('Müşteri için Hesap'!E3)=0,"",'Müşteri için Hesap'!E3),"-")</f>
        <v>22000</v>
      </c>
      <c r="J4" s="22">
        <f>IFERROR(IF(LEN('Müşteri için Hesap'!F3)=0,"",'Müşteri için Hesap'!F3),"-")</f>
        <v>22000</v>
      </c>
      <c r="L4" s="30" t="str">
        <f>IFERROR(IF(LEN('Müşteri için Hesap'!I3)=0,"",'Müşteri için Hesap'!I3),"-")</f>
        <v>NAKİT</v>
      </c>
      <c r="M4" s="5">
        <f>IFERROR(IF(LEN('Müşteri için Hesap'!J3)=0,"",'Müşteri için Hesap'!J3),"-")</f>
        <v>63564</v>
      </c>
      <c r="N4" s="27"/>
      <c r="O4" s="28"/>
      <c r="P4" s="28"/>
      <c r="Q4" s="28"/>
      <c r="R4" s="28"/>
      <c r="S4" s="28"/>
      <c r="T4" s="29"/>
      <c r="U4" s="11" t="str">
        <f t="array" ref="U4">IFERROR(INDEX($B$4:$B$145,                                    SMALL(IF((LEN($B$4:$B$145)&lt;&gt;0),ROW($B$4:$B$145)-ROW($B$3),"0"),ROW(B4)-ROW($B$3))                             ),"0")</f>
        <v>90 DERECE</v>
      </c>
      <c r="V4" s="11" t="str">
        <f t="array" ref="V4">IFERROR(INDEX($A$4:$A$145,MATCH(0,COUNTIF($V$3:V3,$A$4:$A$145),0)),"0")</f>
        <v>BACA DİRSEĞİ</v>
      </c>
      <c r="W4" s="11">
        <v>1</v>
      </c>
      <c r="X4" s="11" t="e">
        <f>U4*W4</f>
        <v>#VALUE!</v>
      </c>
      <c r="Y4" s="11" t="e">
        <f>W4*V4</f>
        <v>#VALUE!</v>
      </c>
      <c r="Z4" s="11">
        <f>COUNTIF($X$4:$X$198,"&lt;&gt;0")</f>
        <v>35</v>
      </c>
      <c r="AA4" s="11">
        <f>COUNTIF($Y$4:$Y$198,"&lt;&gt;0")</f>
        <v>17</v>
      </c>
    </row>
    <row r="5" spans="1:27" x14ac:dyDescent="0.25">
      <c r="A5" s="48" t="s">
        <v>8</v>
      </c>
      <c r="B5" s="15" t="s">
        <v>63</v>
      </c>
      <c r="C5" s="16">
        <v>1000</v>
      </c>
      <c r="D5" s="3" t="str">
        <f t="shared" ref="D5:D27" si="0">IFERROR(IF(AND(LEN(A5)=0,LEN(B5)=0),"",IF(LEN(B5)=0,A5,A5&amp;"-"&amp;B5)),"")</f>
        <v>BACA DİRSEĞİ-45 DERECE</v>
      </c>
      <c r="F5" s="31" t="str">
        <f>IFERROR(IF(LEN('Müşteri için Hesap'!B4)=0,"",'Müşteri için Hesap'!B4),"-")</f>
        <v>KALORİFER TESİSATI</v>
      </c>
      <c r="G5" s="31" t="str">
        <f>IFERROR(IF(LEN('Müşteri için Hesap'!C4)=0,"",'Müşteri için Hesap'!C4),"-")</f>
        <v>KOMPLE</v>
      </c>
      <c r="H5" s="11">
        <f>IFERROR(IF(LEN('Müşteri için Hesap'!D4)=0,"",'Müşteri için Hesap'!D4),"-")</f>
        <v>1</v>
      </c>
      <c r="I5" s="5">
        <f>IFERROR(IF(LEN('Müşteri için Hesap'!E4)=0,"",'Müşteri için Hesap'!E4),"-")</f>
        <v>5000</v>
      </c>
      <c r="J5" s="23">
        <f>IFERROR(IF(LEN('Müşteri için Hesap'!F4)=0,"",'Müşteri için Hesap'!F4),"-")</f>
        <v>5000</v>
      </c>
      <c r="L5" s="30" t="str">
        <f>IFERROR(IF(LEN('Müşteri için Hesap'!I4)=0,"",'Müşteri için Hesap'!I4),"-")</f>
        <v>KREDİ KARTI</v>
      </c>
      <c r="M5" s="5">
        <f>IFERROR(IF(LEN('Müşteri için Hesap'!J4)=0,"",'Müşteri için Hesap'!J4),"-")</f>
        <v>69920.400000000009</v>
      </c>
      <c r="N5" s="27"/>
      <c r="O5" s="28"/>
      <c r="P5" s="28"/>
      <c r="Q5" s="28"/>
      <c r="R5" s="28"/>
      <c r="S5" s="28"/>
      <c r="T5" s="29"/>
      <c r="U5" s="12" t="str">
        <f t="array" ref="U5">IFERROR(INDEX($B$4:$B$145,                                    SMALL(IF((LEN($B$4:$B$145)&lt;&gt;0),ROW($B$4:$B$145)-ROW($B$3),"0"),ROW(B5)-ROW($B$3))                             ),"0")</f>
        <v>45 DERECE</v>
      </c>
      <c r="V5" s="12" t="str">
        <f t="array" ref="V5">IFERROR(INDEX($A$4:$A$145,MATCH(0,COUNTIF($V$3:V4,$A$4:$A$145),0)),"0")</f>
        <v>BACA UZATMASI</v>
      </c>
      <c r="W5" s="13">
        <v>1</v>
      </c>
      <c r="X5" s="13" t="e">
        <f t="shared" ref="X5:X64" si="1">U5*W5</f>
        <v>#VALUE!</v>
      </c>
      <c r="Y5" s="13" t="e">
        <f t="shared" ref="Y5:Y64" si="2">W5*V5</f>
        <v>#VALUE!</v>
      </c>
      <c r="Z5" s="13"/>
      <c r="AA5" s="13"/>
    </row>
    <row r="6" spans="1:27" x14ac:dyDescent="0.25">
      <c r="A6" s="48" t="s">
        <v>8</v>
      </c>
      <c r="B6" s="15" t="s">
        <v>50</v>
      </c>
      <c r="C6" s="16">
        <v>0</v>
      </c>
      <c r="D6" s="3" t="str">
        <f t="shared" si="0"/>
        <v>BACA DİRSEĞİ-YOK</v>
      </c>
      <c r="F6" s="31" t="str">
        <f>IFERROR(IF(LEN('Müşteri için Hesap'!B5)=0,"",'Müşteri için Hesap'!B5),"-")</f>
        <v>DOĞALGAZ TESİSATI</v>
      </c>
      <c r="G6" s="31" t="str">
        <f>IFERROR(IF(LEN('Müşteri için Hesap'!C5)=0,"",'Müşteri için Hesap'!C5),"-")</f>
        <v>ÇELİK_BORU</v>
      </c>
      <c r="H6" s="11">
        <f>IFERROR(IF(LEN('Müşteri için Hesap'!D5)=0,"",'Müşteri için Hesap'!D5),"-")</f>
        <v>1</v>
      </c>
      <c r="I6" s="5">
        <f>IFERROR(IF(LEN('Müşteri için Hesap'!E5)=0,"",'Müşteri için Hesap'!E5),"-")</f>
        <v>4000</v>
      </c>
      <c r="J6" s="23">
        <f>IFERROR(IF(LEN('Müşteri için Hesap'!F5)=0,"",'Müşteri için Hesap'!F5),"-")</f>
        <v>4000</v>
      </c>
      <c r="L6" s="30" t="str">
        <f>IFERROR(IF(LEN('Müşteri için Hesap'!I5)=0,"",'Müşteri için Hesap'!I5),"-")</f>
        <v>12 AY SENET</v>
      </c>
      <c r="M6" s="5">
        <f>IFERROR(IF(LEN('Müşteri için Hesap'!J5)=0,"",'Müşteri için Hesap'!J5),"-")</f>
        <v>71191.680000000008</v>
      </c>
      <c r="N6" s="27"/>
      <c r="O6" s="28"/>
      <c r="P6" s="28"/>
      <c r="Q6" s="28"/>
      <c r="R6" s="28"/>
      <c r="S6" s="28"/>
      <c r="T6" s="29"/>
      <c r="U6" s="12" t="str">
        <f t="array" ref="U6">IFERROR(INDEX($B$4:$B$145,                                    SMALL(IF((LEN($B$4:$B$145)&lt;&gt;0),ROW($B$4:$B$145)-ROW($B$3),"0"),ROW(#REF!)-ROW($B$3))                             ),"0")</f>
        <v>0</v>
      </c>
      <c r="V6" s="12" t="str">
        <f t="array" ref="V6">IFERROR(INDEX($A$4:$A$145,MATCH(0,COUNTIF($V$3:V5,$A$4:$A$145),0)),"0")</f>
        <v>CAM MENFEZ</v>
      </c>
      <c r="W6" s="13">
        <v>1</v>
      </c>
      <c r="X6" s="13">
        <f t="shared" si="1"/>
        <v>0</v>
      </c>
      <c r="Y6" s="13" t="e">
        <f t="shared" si="2"/>
        <v>#VALUE!</v>
      </c>
      <c r="Z6" s="13"/>
      <c r="AA6" s="13"/>
    </row>
    <row r="7" spans="1:27" x14ac:dyDescent="0.25">
      <c r="A7" s="48" t="s">
        <v>7</v>
      </c>
      <c r="B7" s="15" t="s">
        <v>65</v>
      </c>
      <c r="C7" s="16">
        <v>1000</v>
      </c>
      <c r="D7" s="3" t="str">
        <f t="shared" si="0"/>
        <v>BACA UZATMASI-1 METRE</v>
      </c>
      <c r="F7" s="31" t="str">
        <f>IFERROR(IF(LEN('Müşteri için Hesap'!B6)=0,"",'Müşteri için Hesap'!B6),"-")</f>
        <v>RADYATÖR</v>
      </c>
      <c r="G7" s="31" t="str">
        <f>IFERROR(IF(LEN('Müşteri için Hesap'!C6)=0,"",'Müşteri için Hesap'!C6),"-")</f>
        <v>WARMHAUS</v>
      </c>
      <c r="H7" s="11">
        <f>IFERROR(IF(LEN('Müşteri için Hesap'!D6)=0,"",'Müşteri için Hesap'!D6),"-")</f>
        <v>5</v>
      </c>
      <c r="I7" s="5">
        <f>IFERROR(IF(LEN('Müşteri için Hesap'!E6)=0,"",'Müşteri için Hesap'!E6),"-")</f>
        <v>1850</v>
      </c>
      <c r="J7" s="23">
        <f>IFERROR(IF(LEN('Müşteri için Hesap'!F6)=0,"",'Müşteri için Hesap'!F6),"-")</f>
        <v>9250</v>
      </c>
      <c r="L7" s="30" t="str">
        <f>IFERROR(IF(LEN('Müşteri için Hesap'!I6)=0,"",'Müşteri için Hesap'!I6),"-")</f>
        <v>15 AY SENET</v>
      </c>
      <c r="M7" s="5">
        <f>IFERROR(IF(LEN('Müşteri için Hesap'!J6)=0,"",'Müşteri için Hesap'!J6),"-")</f>
        <v>73098.599999999991</v>
      </c>
      <c r="N7" s="27"/>
      <c r="O7" s="28"/>
      <c r="P7" s="28"/>
      <c r="Q7" s="28"/>
      <c r="R7" s="28"/>
      <c r="S7" s="28"/>
      <c r="T7" s="29"/>
      <c r="U7" s="12" t="str">
        <f t="array" ref="U7">IFERROR(INDEX($B$4:$B$145,                                    SMALL(IF((LEN($B$4:$B$145)&lt;&gt;0),ROW($B$4:$B$145)-ROW($B$3),"0"),ROW(#REF!)-ROW($B$3))                             ),"0")</f>
        <v>0</v>
      </c>
      <c r="V7" s="12" t="str">
        <f t="array" ref="V7">IFERROR(INDEX($A$4:$A$145,MATCH(0,COUNTIF($V$3:V6,$A$4:$A$145),0)),"0")</f>
        <v>DOĞALGAZ TESİSATI</v>
      </c>
      <c r="W7" s="13">
        <v>1</v>
      </c>
      <c r="X7" s="13">
        <f t="shared" si="1"/>
        <v>0</v>
      </c>
      <c r="Y7" s="13" t="e">
        <f t="shared" si="2"/>
        <v>#VALUE!</v>
      </c>
      <c r="Z7" s="13"/>
      <c r="AA7" s="13"/>
    </row>
    <row r="8" spans="1:27" x14ac:dyDescent="0.25">
      <c r="A8" s="48" t="s">
        <v>7</v>
      </c>
      <c r="B8" s="15" t="s">
        <v>64</v>
      </c>
      <c r="C8" s="16">
        <v>750</v>
      </c>
      <c r="D8" s="3" t="str">
        <f t="shared" si="0"/>
        <v>BACA UZATMASI-50 CM</v>
      </c>
      <c r="F8" s="31" t="str">
        <f>IFERROR(IF(LEN('Müşteri için Hesap'!B7)=0,"",'Müşteri için Hesap'!B7),"-")</f>
        <v>RADYATÖR VANASI</v>
      </c>
      <c r="G8" s="31" t="str">
        <f>IFERROR(IF(LEN('Müşteri için Hesap'!C7)=0,"",'Müşteri için Hesap'!C7),"-")</f>
        <v>KALDE</v>
      </c>
      <c r="H8" s="11">
        <f>IFERROR(IF(LEN('Müşteri için Hesap'!D7)=0,"",'Müşteri için Hesap'!D7),"-")</f>
        <v>14</v>
      </c>
      <c r="I8" s="5">
        <f>IFERROR(IF(LEN('Müşteri için Hesap'!E7)=0,"",'Müşteri için Hesap'!E7),"-")</f>
        <v>105</v>
      </c>
      <c r="J8" s="23">
        <f>IFERROR(IF(LEN('Müşteri için Hesap'!F7)=0,"",'Müşteri için Hesap'!F7),"-")</f>
        <v>1470</v>
      </c>
      <c r="L8" s="30" t="str">
        <f>IFERROR(IF(LEN('Müşteri için Hesap'!I7)=0,"",'Müşteri için Hesap'!I7),"-")</f>
        <v>18 AY SENET</v>
      </c>
      <c r="M8" s="5">
        <f>IFERROR(IF(LEN('Müşteri için Hesap'!J7)=0,"",'Müşteri için Hesap'!J7),"-")</f>
        <v>75005.51999999999</v>
      </c>
      <c r="N8" s="27"/>
      <c r="O8" s="28"/>
      <c r="P8" s="28"/>
      <c r="Q8" s="28"/>
      <c r="R8" s="28"/>
      <c r="S8" s="28"/>
      <c r="T8" s="29"/>
      <c r="U8" s="12" t="str">
        <f t="array" ref="U8">IFERROR(INDEX($B$4:$B$145,                                    SMALL(IF((LEN($B$4:$B$145)&lt;&gt;0),ROW($B$4:$B$145)-ROW($B$3),"0"),ROW(#REF!)-ROW($B$3))                             ),"0")</f>
        <v>0</v>
      </c>
      <c r="V8" s="12" t="str">
        <f t="array" ref="V8">IFERROR(INDEX($A$4:$A$145,MATCH(0,COUNTIF($V$3:V7,$A$4:$A$145),0)),"0")</f>
        <v>ELEKTİRİK TESİSATI</v>
      </c>
      <c r="W8" s="13">
        <v>1</v>
      </c>
      <c r="X8" s="13">
        <f t="shared" si="1"/>
        <v>0</v>
      </c>
      <c r="Y8" s="13" t="e">
        <f t="shared" si="2"/>
        <v>#VALUE!</v>
      </c>
      <c r="Z8" s="13"/>
      <c r="AA8" s="13"/>
    </row>
    <row r="9" spans="1:27" x14ac:dyDescent="0.25">
      <c r="A9" s="48" t="s">
        <v>9</v>
      </c>
      <c r="B9" s="15" t="s">
        <v>49</v>
      </c>
      <c r="C9" s="16">
        <v>250</v>
      </c>
      <c r="D9" s="3" t="str">
        <f t="shared" si="0"/>
        <v>CAM MENFEZ-VAR</v>
      </c>
      <c r="F9" s="31" t="str">
        <f>IFERROR(IF(LEN('Müşteri için Hesap'!B8)=0,"",'Müşteri için Hesap'!B8),"-")</f>
        <v>ODA TERMOSTATI</v>
      </c>
      <c r="G9" s="31" t="str">
        <f>IFERROR(IF(LEN('Müşteri için Hesap'!C8)=0,"",'Müşteri için Hesap'!C8),"-")</f>
        <v>AİRFELL_KABLOSUZ_TERMOSTAT</v>
      </c>
      <c r="H9" s="11">
        <f>IFERROR(IF(LEN('Müşteri için Hesap'!D8)=0,"",'Müşteri için Hesap'!D8),"-")</f>
        <v>1</v>
      </c>
      <c r="I9" s="5">
        <f>IFERROR(IF(LEN('Müşteri için Hesap'!E8)=0,"",'Müşteri için Hesap'!E8),"-")</f>
        <v>1000</v>
      </c>
      <c r="J9" s="23">
        <f>IFERROR(IF(LEN('Müşteri için Hesap'!F8)=0,"",'Müşteri için Hesap'!F8),"-")</f>
        <v>1000</v>
      </c>
      <c r="U9" s="12" t="str">
        <f t="array" ref="U9">IFERROR(INDEX($B$4:$B$145,                                    SMALL(IF((LEN($B$4:$B$145)&lt;&gt;0),ROW($B$4:$B$145)-ROW($B$3),"0"),ROW(#REF!)-ROW($B$3))                             ),"0")</f>
        <v>0</v>
      </c>
      <c r="V9" s="12" t="str">
        <f t="array" ref="V9">IFERROR(INDEX($A$4:$A$145,MATCH(0,COUNTIF($V$3:V8,$A$4:$A$145),0)),"0")</f>
        <v>EXTRA ISCILIK</v>
      </c>
      <c r="W9" s="13">
        <v>1</v>
      </c>
      <c r="X9" s="13">
        <f t="shared" si="1"/>
        <v>0</v>
      </c>
      <c r="Y9" s="13" t="e">
        <f t="shared" si="2"/>
        <v>#VALUE!</v>
      </c>
      <c r="Z9" s="13"/>
      <c r="AA9" s="13"/>
    </row>
    <row r="10" spans="1:27" x14ac:dyDescent="0.25">
      <c r="A10" s="48" t="s">
        <v>9</v>
      </c>
      <c r="B10" s="15" t="s">
        <v>50</v>
      </c>
      <c r="C10" s="16">
        <v>0</v>
      </c>
      <c r="D10" s="3" t="str">
        <f t="shared" si="0"/>
        <v>CAM MENFEZ-YOK</v>
      </c>
      <c r="F10" s="31" t="str">
        <f>IFERROR(IF(LEN('Müşteri için Hesap'!B9)=0,"",'Müşteri için Hesap'!B9),"-")</f>
        <v>KOMBİ DOLABI</v>
      </c>
      <c r="G10" s="31" t="str">
        <f>IFERROR(IF(LEN('Müşteri için Hesap'!C9)=0,"",'Müşteri için Hesap'!C9),"-")</f>
        <v>VAR</v>
      </c>
      <c r="H10" s="11">
        <f>IFERROR(IF(LEN('Müşteri için Hesap'!D9)=0,"",'Müşteri için Hesap'!D9),"-")</f>
        <v>1</v>
      </c>
      <c r="I10" s="5">
        <f>IFERROR(IF(LEN('Müşteri için Hesap'!E9)=0,"",'Müşteri için Hesap'!E9),"-")</f>
        <v>1000</v>
      </c>
      <c r="J10" s="23">
        <f>IFERROR(IF(LEN('Müşteri için Hesap'!F9)=0,"",'Müşteri için Hesap'!F9),"-")</f>
        <v>1000</v>
      </c>
      <c r="U10" s="12" t="str">
        <f t="array" ref="U10">IFERROR(INDEX($B$4:$B$145,                                    SMALL(IF((LEN($B$4:$B$145)&lt;&gt;0),ROW($B$4:$B$145)-ROW($B$3),"0"),ROW(#REF!)-ROW($B$3))                             ),"0")</f>
        <v>0</v>
      </c>
      <c r="V10" s="12" t="str">
        <f t="array" ref="V10">IFERROR(INDEX($A$4:$A$145,MATCH(0,COUNTIF($V$3:V9,$A$4:$A$145),0)),"0")</f>
        <v>HAVLUPAN</v>
      </c>
      <c r="W10" s="13">
        <v>1</v>
      </c>
      <c r="X10" s="13">
        <f t="shared" si="1"/>
        <v>0</v>
      </c>
      <c r="Y10" s="13" t="e">
        <f t="shared" si="2"/>
        <v>#VALUE!</v>
      </c>
      <c r="Z10" s="13"/>
      <c r="AA10" s="13"/>
    </row>
    <row r="11" spans="1:27" x14ac:dyDescent="0.25">
      <c r="A11" s="48" t="s">
        <v>1</v>
      </c>
      <c r="B11" s="15" t="s">
        <v>48</v>
      </c>
      <c r="C11" s="16">
        <v>4000</v>
      </c>
      <c r="D11" s="3" t="str">
        <f t="shared" si="0"/>
        <v>DOĞALGAZ TESİSATI-ÇELİK_BORU</v>
      </c>
      <c r="F11" s="31" t="str">
        <f>IFERROR(IF(LEN('Müşteri için Hesap'!B10)=0,"",'Müşteri için Hesap'!B10),"-")</f>
        <v>HAVLUPAN</v>
      </c>
      <c r="G11" s="31" t="s">
        <v>49</v>
      </c>
      <c r="H11" s="11">
        <f>IFERROR(IF(LEN('Müşteri için Hesap'!D10)=0,"",'Müşteri için Hesap'!D10),"-")</f>
        <v>1</v>
      </c>
      <c r="I11" s="5">
        <f>IFERROR(IF(LEN('Müşteri için Hesap'!E10)=0,"",'Müşteri için Hesap'!E10),"-")</f>
        <v>750</v>
      </c>
      <c r="J11" s="23">
        <f>IFERROR(IF(LEN('Müşteri için Hesap'!F10)=0,"",'Müşteri için Hesap'!F10),"-")</f>
        <v>750</v>
      </c>
      <c r="U11" s="12" t="str">
        <f t="array" ref="U11">IFERROR(INDEX($B$4:$B$145,                                    SMALL(IF((LEN($B$4:$B$145)&lt;&gt;0),ROW($B$4:$B$145)-ROW($B$3),"0"),ROW(#REF!)-ROW($B$3))                             ),"0")</f>
        <v>0</v>
      </c>
      <c r="V11" s="12" t="str">
        <f t="array" ref="V11">IFERROR(INDEX($A$4:$A$145,MATCH(0,COUNTIF($V$3:V10,$A$4:$A$145),0)),"0")</f>
        <v>İŞÇİLİK</v>
      </c>
      <c r="W11" s="13">
        <v>1</v>
      </c>
      <c r="X11" s="13">
        <f t="shared" si="1"/>
        <v>0</v>
      </c>
      <c r="Y11" s="13" t="e">
        <f t="shared" si="2"/>
        <v>#VALUE!</v>
      </c>
      <c r="Z11" s="13"/>
      <c r="AA11" s="13"/>
    </row>
    <row r="12" spans="1:27" x14ac:dyDescent="0.25">
      <c r="A12" s="48" t="s">
        <v>1</v>
      </c>
      <c r="B12" s="15" t="s">
        <v>13</v>
      </c>
      <c r="C12" s="16">
        <v>8000</v>
      </c>
      <c r="D12" s="3" t="str">
        <f t="shared" si="0"/>
        <v>DOĞALGAZ TESİSATI-ESNEK_BORU</v>
      </c>
      <c r="F12" s="31" t="str">
        <f>IFERROR(IF(LEN('Müşteri için Hesap'!B11)=0,"",'Müşteri için Hesap'!B11),"-")</f>
        <v>BACA UZATMASI</v>
      </c>
      <c r="G12" s="31" t="str">
        <f>IFERROR(IF(LEN('Müşteri için Hesap'!C11)=0,"",'Müşteri için Hesap'!C11),"-")</f>
        <v>YOK</v>
      </c>
      <c r="H12" s="11">
        <f>IFERROR(IF(LEN('Müşteri için Hesap'!D11)=0,"",'Müşteri için Hesap'!D11),"-")</f>
        <v>1</v>
      </c>
      <c r="I12" s="5" t="str">
        <f>IFERROR(IF(LEN('Müşteri için Hesap'!E11)=0,"",'Müşteri için Hesap'!E11),"-")</f>
        <v>-</v>
      </c>
      <c r="J12" s="23" t="str">
        <f>IFERROR(IF(LEN('Müşteri için Hesap'!F11)=0,"",'Müşteri için Hesap'!F11),"-")</f>
        <v>-</v>
      </c>
      <c r="U12" s="12" t="str">
        <f t="array" ref="U12">IFERROR(INDEX($B$4:$B$145,                                    SMALL(IF((LEN($B$4:$B$145)&lt;&gt;0),ROW($B$4:$B$145)-ROW($B$3),"0"),ROW(#REF!)-ROW($B$3))                             ),"0")</f>
        <v>0</v>
      </c>
      <c r="V12" s="12" t="str">
        <f t="array" ref="V12">IFERROR(INDEX($A$4:$A$145,MATCH(0,COUNTIF($V$3:V11,$A$4:$A$145),0)),"0")</f>
        <v>KALORİFER TESİSATI</v>
      </c>
      <c r="W12" s="13">
        <v>1</v>
      </c>
      <c r="X12" s="13">
        <f t="shared" si="1"/>
        <v>0</v>
      </c>
      <c r="Y12" s="13" t="e">
        <f t="shared" si="2"/>
        <v>#VALUE!</v>
      </c>
      <c r="Z12" s="13"/>
      <c r="AA12" s="13"/>
    </row>
    <row r="13" spans="1:27" x14ac:dyDescent="0.25">
      <c r="A13" s="48" t="s">
        <v>10</v>
      </c>
      <c r="B13" s="15" t="s">
        <v>49</v>
      </c>
      <c r="C13" s="16">
        <v>250</v>
      </c>
      <c r="D13" s="3" t="str">
        <f t="shared" si="0"/>
        <v>ELEKTİRİK TESİSATI-VAR</v>
      </c>
      <c r="F13" s="31" t="str">
        <f>IFERROR(IF(LEN('Müşteri için Hesap'!B12)=0,"",'Müşteri için Hesap'!B12),"-")</f>
        <v>BACA DİRSEĞİ</v>
      </c>
      <c r="G13" s="31" t="str">
        <f>IFERROR(IF(LEN('Müşteri için Hesap'!C12)=0,"",'Müşteri için Hesap'!C12),"-")</f>
        <v>YOK</v>
      </c>
      <c r="H13" s="11">
        <f>IFERROR(IF(LEN('Müşteri için Hesap'!D12)=0,"",'Müşteri için Hesap'!D12),"-")</f>
        <v>1</v>
      </c>
      <c r="I13" s="5">
        <f>IFERROR(IF(LEN('Müşteri için Hesap'!E12)=0,"",'Müşteri için Hesap'!E12),"-")</f>
        <v>0</v>
      </c>
      <c r="J13" s="23">
        <f>IFERROR(IF(LEN('Müşteri için Hesap'!F12)=0,"",'Müşteri için Hesap'!F12),"-")</f>
        <v>0</v>
      </c>
      <c r="U13" s="12" t="str">
        <f t="array" ref="U13">IFERROR(INDEX($B$4:$B$145,                                    SMALL(IF((LEN($B$4:$B$145)&lt;&gt;0),ROW($B$4:$B$145)-ROW($B$3),"0"),ROW(B6)-ROW($B$3))                             ),"0")</f>
        <v>YOK</v>
      </c>
      <c r="V13" s="12" t="str">
        <f t="array" ref="V13">IFERROR(INDEX($A$4:$A$145,MATCH(0,COUNTIF($V$3:V12,$A$4:$A$145),0)),"0")</f>
        <v>KOMBİ</v>
      </c>
      <c r="W13" s="13">
        <v>1</v>
      </c>
      <c r="X13" s="13" t="e">
        <f t="shared" si="1"/>
        <v>#VALUE!</v>
      </c>
      <c r="Y13" s="13" t="e">
        <f t="shared" si="2"/>
        <v>#VALUE!</v>
      </c>
      <c r="Z13" s="13"/>
      <c r="AA13" s="13"/>
    </row>
    <row r="14" spans="1:27" x14ac:dyDescent="0.25">
      <c r="A14" s="48" t="s">
        <v>10</v>
      </c>
      <c r="B14" s="15" t="s">
        <v>50</v>
      </c>
      <c r="C14" s="16">
        <v>0</v>
      </c>
      <c r="D14" s="3" t="str">
        <f t="shared" si="0"/>
        <v>ELEKTİRİK TESİSATI-YOK</v>
      </c>
      <c r="F14" s="31" t="str">
        <f>IFERROR(IF(LEN('Müşteri için Hesap'!B13)=0,"",'Müşteri için Hesap'!B13),"-")</f>
        <v>CAM MENFEZ</v>
      </c>
      <c r="G14" s="31" t="str">
        <f>IFERROR(IF(LEN('Müşteri için Hesap'!C13)=0,"",'Müşteri için Hesap'!C13),"-")</f>
        <v>VAR</v>
      </c>
      <c r="H14" s="11">
        <f>IFERROR(IF(LEN('Müşteri için Hesap'!D13)=0,"",'Müşteri için Hesap'!D13),"-")</f>
        <v>1</v>
      </c>
      <c r="I14" s="5">
        <f>IFERROR(IF(LEN('Müşteri için Hesap'!E13)=0,"",'Müşteri için Hesap'!E13),"-")</f>
        <v>250</v>
      </c>
      <c r="J14" s="23">
        <f>IFERROR(IF(LEN('Müşteri için Hesap'!F13)=0,"",'Müşteri için Hesap'!F13),"-")</f>
        <v>250</v>
      </c>
      <c r="U14" s="12" t="str">
        <f t="array" ref="U14">IFERROR(INDEX($B$4:$B$145,                                    SMALL(IF((LEN($B$4:$B$145)&lt;&gt;0),ROW($B$4:$B$145)-ROW($B$3),"0"),ROW(B7)-ROW($B$3))                             ),"0")</f>
        <v>1 METRE</v>
      </c>
      <c r="V14" s="12" t="str">
        <f t="array" ref="V14">IFERROR(INDEX($A$4:$A$145,MATCH(0,COUNTIF($V$3:V13,$A$4:$A$145),0)),"0")</f>
        <v>KOMBİ DOLABI</v>
      </c>
      <c r="W14" s="13">
        <v>1</v>
      </c>
      <c r="X14" s="13" t="e">
        <f t="shared" si="1"/>
        <v>#VALUE!</v>
      </c>
      <c r="Y14" s="13" t="e">
        <f t="shared" si="2"/>
        <v>#VALUE!</v>
      </c>
      <c r="Z14" s="13"/>
      <c r="AA14" s="13"/>
    </row>
    <row r="15" spans="1:27" x14ac:dyDescent="0.25">
      <c r="A15" s="48" t="s">
        <v>53</v>
      </c>
      <c r="B15" s="15" t="s">
        <v>49</v>
      </c>
      <c r="C15" s="16">
        <v>1000</v>
      </c>
      <c r="D15" s="3" t="str">
        <f t="shared" si="0"/>
        <v>EXTRA ISCILIK-VAR</v>
      </c>
      <c r="F15" s="31" t="str">
        <f>IFERROR(IF(LEN('Müşteri için Hesap'!B14)=0,"",'Müşteri için Hesap'!B14),"-")</f>
        <v>ELEKTİRİK TESİSATI</v>
      </c>
      <c r="G15" s="31" t="str">
        <f>IFERROR(IF(LEN('Müşteri için Hesap'!C14)=0,"",'Müşteri için Hesap'!C14),"-")</f>
        <v>VAR</v>
      </c>
      <c r="H15" s="11">
        <f>IFERROR(IF(LEN('Müşteri için Hesap'!D14)=0,"",'Müşteri için Hesap'!D14),"-")</f>
        <v>1</v>
      </c>
      <c r="I15" s="5">
        <f>IFERROR(IF(LEN('Müşteri için Hesap'!E14)=0,"",'Müşteri için Hesap'!E14),"-")</f>
        <v>250</v>
      </c>
      <c r="J15" s="23">
        <f>IFERROR(IF(LEN('Müşteri için Hesap'!F14)=0,"",'Müşteri için Hesap'!F14),"-")</f>
        <v>250</v>
      </c>
      <c r="U15" s="12" t="str">
        <f t="array" ref="U15">IFERROR(INDEX($B$4:$B$145,                                    SMALL(IF((LEN($B$4:$B$145)&lt;&gt;0),ROW($B$4:$B$145)-ROW($B$3),"0"),ROW(B8)-ROW($B$3))                             ),"0")</f>
        <v>50 CM</v>
      </c>
      <c r="V15" s="12" t="str">
        <f t="array" ref="V15">IFERROR(INDEX($A$4:$A$145,MATCH(0,COUNTIF($V$3:V14,$A$4:$A$145),0)),"0")</f>
        <v>ODA TERMOSTATI</v>
      </c>
      <c r="W15" s="13">
        <v>1</v>
      </c>
      <c r="X15" s="13" t="e">
        <f t="shared" si="1"/>
        <v>#VALUE!</v>
      </c>
      <c r="Y15" s="13" t="e">
        <f t="shared" si="2"/>
        <v>#VALUE!</v>
      </c>
      <c r="Z15" s="13"/>
      <c r="AA15" s="13"/>
    </row>
    <row r="16" spans="1:27" x14ac:dyDescent="0.25">
      <c r="A16" s="48" t="s">
        <v>53</v>
      </c>
      <c r="B16" s="15" t="s">
        <v>50</v>
      </c>
      <c r="C16" s="16">
        <v>0</v>
      </c>
      <c r="D16" s="3" t="str">
        <f t="shared" si="0"/>
        <v>EXTRA ISCILIK-YOK</v>
      </c>
      <c r="F16" s="31" t="str">
        <f>IFERROR(IF(LEN('Müşteri için Hesap'!B15)=0,"",'Müşteri için Hesap'!B15),"-")</f>
        <v>İŞÇİLİK</v>
      </c>
      <c r="G16" s="31" t="str">
        <f>IFERROR(IF(LEN('Müşteri için Hesap'!C15)=0,"",'Müşteri için Hesap'!C15),"-")</f>
        <v>KOMPLE</v>
      </c>
      <c r="H16" s="11">
        <f>IFERROR(IF(LEN('Müşteri için Hesap'!D15)=0,"",'Müşteri için Hesap'!D15),"-")</f>
        <v>1</v>
      </c>
      <c r="I16" s="5">
        <f>IFERROR(IF(LEN('Müşteri için Hesap'!E15)=0,"",'Müşteri için Hesap'!E15),"-")</f>
        <v>7000</v>
      </c>
      <c r="J16" s="23">
        <f>IFERROR(IF(LEN('Müşteri için Hesap'!F15)=0,"",'Müşteri için Hesap'!F15),"-")</f>
        <v>7000</v>
      </c>
      <c r="U16" s="12" t="str">
        <f t="array" ref="U16">IFERROR(INDEX($B$4:$B$145,                                    SMALL(IF((LEN($B$4:$B$145)&lt;&gt;0),ROW($B$4:$B$145)-ROW($B$3),"0"),ROW(#REF!)-ROW($B$3))                             ),"0")</f>
        <v>0</v>
      </c>
      <c r="V16" s="12" t="str">
        <f t="array" ref="V16">IFERROR(INDEX($A$4:$A$145,MATCH(0,COUNTIF($V$3:V15,$A$4:$A$145),0)),"0")</f>
        <v>RADYATÖR</v>
      </c>
      <c r="W16" s="13">
        <v>1</v>
      </c>
      <c r="X16" s="13">
        <f t="shared" si="1"/>
        <v>0</v>
      </c>
      <c r="Y16" s="13" t="e">
        <f t="shared" si="2"/>
        <v>#VALUE!</v>
      </c>
      <c r="Z16" s="13"/>
      <c r="AA16" s="13"/>
    </row>
    <row r="17" spans="1:27" x14ac:dyDescent="0.25">
      <c r="A17" s="48" t="s">
        <v>6</v>
      </c>
      <c r="B17" s="15" t="s">
        <v>16</v>
      </c>
      <c r="C17" s="16">
        <v>750</v>
      </c>
      <c r="D17" s="3" t="str">
        <f t="shared" si="0"/>
        <v>HAVLUPAN-KROM</v>
      </c>
      <c r="F17" s="32" t="str">
        <f>IFERROR(IF(LEN('Müşteri için Hesap'!B16)=0,"",'Müşteri için Hesap'!B16),"-")</f>
        <v>FİRMA GİDERİ</v>
      </c>
      <c r="G17" s="32" t="str">
        <f>IFERROR(IF(LEN('Müşteri için Hesap'!C16)=0,"",'Müşteri için Hesap'!C16),"-")</f>
        <v>VAR</v>
      </c>
      <c r="H17" s="33">
        <f>IFERROR(IF(LEN('Müşteri için Hesap'!D16)=0,"",'Müşteri için Hesap'!D16),"-")</f>
        <v>1</v>
      </c>
      <c r="I17" s="7">
        <f>IFERROR(IF(LEN('Müşteri için Hesap'!E16)=0,"",'Müşteri için Hesap'!E16),"-")</f>
        <v>1000</v>
      </c>
      <c r="J17" s="39">
        <f>IFERROR(IF(LEN('Müşteri için Hesap'!F16)=0,"",'Müşteri için Hesap'!F16),"-")</f>
        <v>1000</v>
      </c>
      <c r="U17" s="12" t="str">
        <f t="array" ref="U17">IFERROR(INDEX($B$4:$B$145,                                    SMALL(IF((LEN($B$4:$B$145)&lt;&gt;0),ROW($B$4:$B$145)-ROW($B$3),"0"),ROW(#REF!)-ROW($B$3))                             ),"0")</f>
        <v>0</v>
      </c>
      <c r="V17" s="12" t="str">
        <f t="array" ref="V17">IFERROR(INDEX($A$4:$A$145,MATCH(0,COUNTIF($V$3:V16,$A$4:$A$145),0)),"0")</f>
        <v>RADYATÖR VANASI</v>
      </c>
      <c r="W17" s="13">
        <v>1</v>
      </c>
      <c r="X17" s="13">
        <f t="shared" si="1"/>
        <v>0</v>
      </c>
      <c r="Y17" s="13" t="e">
        <f t="shared" si="2"/>
        <v>#VALUE!</v>
      </c>
      <c r="Z17" s="13"/>
      <c r="AA17" s="13"/>
    </row>
    <row r="18" spans="1:27" x14ac:dyDescent="0.25">
      <c r="A18" s="48" t="s">
        <v>6</v>
      </c>
      <c r="B18" s="15" t="s">
        <v>17</v>
      </c>
      <c r="C18" s="16">
        <v>750</v>
      </c>
      <c r="D18" s="3" t="str">
        <f t="shared" si="0"/>
        <v>HAVLUPAN-BEYAZ</v>
      </c>
      <c r="F18" s="31" t="str">
        <f>IFERROR(IF(LEN('Müşteri için Hesap'!B17)=0,"",'Müşteri için Hesap'!B17),"-")</f>
        <v>BACA UZATMASI</v>
      </c>
      <c r="G18" s="31" t="str">
        <f>IFERROR(IF(LEN('Müşteri için Hesap'!C17)=0,"",'Müşteri için Hesap'!C17),"-")</f>
        <v>YOK</v>
      </c>
      <c r="H18" s="11">
        <f>IFERROR(IF(LEN('Müşteri için Hesap'!D17)=0,"",'Müşteri için Hesap'!D17),"-")</f>
        <v>1</v>
      </c>
      <c r="I18" s="5" t="str">
        <f>IFERROR(IF(LEN('Müşteri için Hesap'!E17)=0,"",'Müşteri için Hesap'!E17),"-")</f>
        <v>-</v>
      </c>
      <c r="J18" s="23" t="str">
        <f>IFERROR(IF(LEN('Müşteri için Hesap'!F17)=0,"",'Müşteri için Hesap'!F17),"-")</f>
        <v>-</v>
      </c>
      <c r="U18" s="12" t="str">
        <f t="array" ref="U18">IFERROR(INDEX($B$4:$B$145,                                    SMALL(IF((LEN($B$4:$B$145)&lt;&gt;0),ROW($B$4:$B$145)-ROW($B$3),"0"),ROW(#REF!)-ROW($B$3))                             ),"0")</f>
        <v>0</v>
      </c>
      <c r="V18" s="12" t="str">
        <f t="array" ref="V18">IFERROR(INDEX($A$4:$A$145,MATCH(0,COUNTIF($V$3:V17,$A$4:$A$145),0)),"0")</f>
        <v>FİRMA GİDERİ</v>
      </c>
      <c r="W18" s="13">
        <v>1</v>
      </c>
      <c r="X18" s="13">
        <f t="shared" si="1"/>
        <v>0</v>
      </c>
      <c r="Y18" s="13" t="e">
        <f t="shared" si="2"/>
        <v>#VALUE!</v>
      </c>
      <c r="Z18" s="13"/>
      <c r="AA18" s="13"/>
    </row>
    <row r="19" spans="1:27" x14ac:dyDescent="0.25">
      <c r="A19" s="48" t="s">
        <v>11</v>
      </c>
      <c r="B19" s="15" t="s">
        <v>51</v>
      </c>
      <c r="C19" s="16">
        <v>5000</v>
      </c>
      <c r="D19" s="3" t="str">
        <f t="shared" si="0"/>
        <v>İŞÇİLİK-MONTAJ</v>
      </c>
      <c r="F19" s="31" t="str">
        <f>IFERROR(IF(LEN('Müşteri için Hesap'!#REF!)=0,"",'Müşteri için Hesap'!#REF!),"-")</f>
        <v>-</v>
      </c>
      <c r="G19" s="31" t="str">
        <f>IFERROR(IF(LEN('Müşteri için Hesap'!#REF!)=0,"",'Müşteri için Hesap'!#REF!),"-")</f>
        <v>-</v>
      </c>
      <c r="H19" s="11" t="str">
        <f>IFERROR(IF(LEN('Müşteri için Hesap'!#REF!)=0,"",'Müşteri için Hesap'!#REF!),"-")</f>
        <v>-</v>
      </c>
      <c r="I19" s="5" t="str">
        <f>IFERROR(IF(LEN('Müşteri için Hesap'!#REF!)=0,"",'Müşteri için Hesap'!#REF!),"-")</f>
        <v>-</v>
      </c>
      <c r="J19" s="23" t="str">
        <f>IFERROR(IF(LEN('Müşteri için Hesap'!#REF!)=0,"",'Müşteri için Hesap'!#REF!),"-")</f>
        <v>-</v>
      </c>
      <c r="U19" s="12" t="str">
        <f t="array" ref="U19">IFERROR(INDEX($B$4:$B$145,                                    SMALL(IF((LEN($B$4:$B$145)&lt;&gt;0),ROW($B$4:$B$145)-ROW($B$3),"0"),ROW(#REF!)-ROW($B$3))                             ),"0")</f>
        <v>0</v>
      </c>
      <c r="V19" s="12">
        <f t="array" ref="V19">IFERROR(INDEX($A$4:$A$145,MATCH(0,COUNTIF($V$3:V18,$A$4:$A$145),0)),"0")</f>
        <v>0</v>
      </c>
      <c r="W19" s="13">
        <v>1</v>
      </c>
      <c r="X19" s="13">
        <f t="shared" si="1"/>
        <v>0</v>
      </c>
      <c r="Y19" s="13">
        <f t="shared" si="2"/>
        <v>0</v>
      </c>
      <c r="Z19" s="13"/>
      <c r="AA19" s="13"/>
    </row>
    <row r="20" spans="1:27" x14ac:dyDescent="0.25">
      <c r="A20" s="48" t="s">
        <v>11</v>
      </c>
      <c r="B20" s="15" t="s">
        <v>15</v>
      </c>
      <c r="C20" s="16">
        <v>7000</v>
      </c>
      <c r="D20" s="3" t="str">
        <f t="shared" si="0"/>
        <v>İŞÇİLİK-KOMPLE</v>
      </c>
      <c r="F20" s="31" t="str">
        <f>IFERROR(IF(LEN('Müşteri için Hesap'!#REF!)=0,"",'Müşteri için Hesap'!#REF!),"-")</f>
        <v>-</v>
      </c>
      <c r="G20" s="31" t="str">
        <f>IFERROR(IF(LEN('Müşteri için Hesap'!#REF!)=0,"",'Müşteri için Hesap'!#REF!),"-")</f>
        <v>-</v>
      </c>
      <c r="H20" s="11" t="str">
        <f>IFERROR(IF(LEN('Müşteri için Hesap'!#REF!)=0,"",'Müşteri için Hesap'!#REF!),"-")</f>
        <v>-</v>
      </c>
      <c r="I20" s="5" t="str">
        <f>IFERROR(IF(LEN('Müşteri için Hesap'!#REF!)=0,"",'Müşteri için Hesap'!#REF!),"-")</f>
        <v>-</v>
      </c>
      <c r="J20" s="22" t="str">
        <f>IFERROR(IF(LEN('Müşteri için Hesap'!#REF!)=0,"",'Müşteri için Hesap'!#REF!),"-")</f>
        <v>-</v>
      </c>
      <c r="U20" s="12" t="str">
        <f t="array" ref="U20">IFERROR(INDEX($B$4:$B$145,                                    SMALL(IF((LEN($B$4:$B$145)&lt;&gt;0),ROW($B$4:$B$145)-ROW($B$3),"0"),ROW(#REF!)-ROW($B$3))                             ),"0")</f>
        <v>0</v>
      </c>
      <c r="V20" s="12" t="str">
        <f t="array" ref="V20">IFERROR(INDEX($A$4:$A$145,MATCH(0,COUNTIF($V$3:V19,$A$4:$A$145),0)),"0")</f>
        <v>0</v>
      </c>
      <c r="W20" s="13">
        <v>1</v>
      </c>
      <c r="X20" s="13">
        <f t="shared" si="1"/>
        <v>0</v>
      </c>
      <c r="Y20" s="13">
        <f t="shared" si="2"/>
        <v>0</v>
      </c>
      <c r="Z20" s="13"/>
      <c r="AA20" s="13"/>
    </row>
    <row r="21" spans="1:27" x14ac:dyDescent="0.25">
      <c r="A21" s="48" t="s">
        <v>11</v>
      </c>
      <c r="B21" s="15" t="s">
        <v>45</v>
      </c>
      <c r="C21" s="16">
        <v>4000</v>
      </c>
      <c r="D21" s="3" t="str">
        <f t="shared" si="0"/>
        <v>İŞÇİLİK-KOMBİ + GAZ</v>
      </c>
      <c r="F21" s="31" t="str">
        <f>IFERROR(IF(LEN('Müşteri için Hesap'!B18)=0,"",'Müşteri için Hesap'!B18),"-")</f>
        <v/>
      </c>
      <c r="G21" s="31" t="str">
        <f>IFERROR(IF(LEN('Müşteri için Hesap'!C18)=0,"",'Müşteri için Hesap'!C18),"-")</f>
        <v/>
      </c>
      <c r="H21" s="11" t="str">
        <f>IFERROR(IF(LEN('Müşteri için Hesap'!D18)=0,"",'Müşteri için Hesap'!D18),"-")</f>
        <v/>
      </c>
      <c r="I21" s="5" t="str">
        <f>IFERROR(IF(LEN('Müşteri için Hesap'!E18)=0,"",'Müşteri için Hesap'!E18),"-")</f>
        <v/>
      </c>
      <c r="J21" s="23" t="str">
        <f>IFERROR(IF(LEN('Müşteri için Hesap'!F18)=0,"",'Müşteri için Hesap'!F18),"-")</f>
        <v/>
      </c>
      <c r="U21" s="12" t="str">
        <f t="array" ref="U21">IFERROR(INDEX($B$4:$B$145,                                    SMALL(IF((LEN($B$4:$B$145)&lt;&gt;0),ROW($B$4:$B$145)-ROW($B$3),"0"),ROW(#REF!)-ROW($B$3))                             ),"0")</f>
        <v>0</v>
      </c>
      <c r="V21" s="12" t="str">
        <f t="array" ref="V21">IFERROR(INDEX($A$4:$A$145,MATCH(0,COUNTIF($V$3:V20,$A$4:$A$145),0)),"0")</f>
        <v>0</v>
      </c>
      <c r="W21" s="13">
        <v>1</v>
      </c>
      <c r="X21" s="13">
        <f t="shared" si="1"/>
        <v>0</v>
      </c>
      <c r="Y21" s="13">
        <f t="shared" si="2"/>
        <v>0</v>
      </c>
      <c r="Z21" s="13"/>
      <c r="AA21" s="13"/>
    </row>
    <row r="22" spans="1:27" x14ac:dyDescent="0.25">
      <c r="A22" s="48" t="s">
        <v>0</v>
      </c>
      <c r="B22" s="15" t="s">
        <v>15</v>
      </c>
      <c r="C22" s="16">
        <v>5000</v>
      </c>
      <c r="D22" s="3" t="str">
        <f t="shared" si="0"/>
        <v>KALORİFER TESİSATI-KOMPLE</v>
      </c>
      <c r="F22" s="31" t="str">
        <f>IFERROR(IF(LEN('Müşteri için Hesap'!B19)=0,"",'Müşteri için Hesap'!B19),"-")</f>
        <v/>
      </c>
      <c r="G22" s="31" t="str">
        <f>IFERROR(IF(LEN('Müşteri için Hesap'!C19)=0,"",'Müşteri için Hesap'!C19),"-")</f>
        <v/>
      </c>
      <c r="H22" s="11" t="str">
        <f>IFERROR(IF(LEN('Müşteri için Hesap'!D19)=0,"",'Müşteri için Hesap'!D19),"-")</f>
        <v/>
      </c>
      <c r="I22" s="5" t="str">
        <f>IFERROR(IF(LEN('Müşteri için Hesap'!E19)=0,"",'Müşteri için Hesap'!E19),"-")</f>
        <v/>
      </c>
      <c r="J22" s="23" t="str">
        <f>IFERROR(IF(LEN('Müşteri için Hesap'!F19)=0,"",'Müşteri için Hesap'!F19),"-")</f>
        <v/>
      </c>
      <c r="U22" s="12" t="str">
        <f t="array" ref="U22">IFERROR(INDEX($B$4:$B$145,                                    SMALL(IF((LEN($B$4:$B$145)&lt;&gt;0),ROW($B$4:$B$145)-ROW($B$3),"0"),ROW(#REF!)-ROW($B$3))                             ),"0")</f>
        <v>0</v>
      </c>
      <c r="V22" s="12" t="str">
        <f t="array" ref="V22">IFERROR(INDEX($A$4:$A$145,MATCH(0,COUNTIF($V$3:V21,$A$4:$A$145),0)),"0")</f>
        <v>0</v>
      </c>
      <c r="W22" s="13">
        <v>1</v>
      </c>
      <c r="X22" s="13">
        <f t="shared" si="1"/>
        <v>0</v>
      </c>
      <c r="Y22" s="13">
        <f t="shared" si="2"/>
        <v>0</v>
      </c>
      <c r="Z22" s="13"/>
      <c r="AA22" s="13"/>
    </row>
    <row r="23" spans="1:27" x14ac:dyDescent="0.25">
      <c r="A23" s="48" t="s">
        <v>0</v>
      </c>
      <c r="B23" s="15" t="s">
        <v>70</v>
      </c>
      <c r="C23" s="16">
        <v>2500</v>
      </c>
      <c r="D23" s="3" t="str">
        <f t="shared" si="0"/>
        <v>KALORİFER TESİSATI-ÖTELEME</v>
      </c>
      <c r="F23" s="31" t="str">
        <f>IFERROR(IF(LEN('Müşteri için Hesap'!B20)=0,"",'Müşteri için Hesap'!B20),"-")</f>
        <v/>
      </c>
      <c r="G23" s="31" t="str">
        <f>IFERROR(IF(LEN('Müşteri için Hesap'!C20)=0,"",'Müşteri için Hesap'!C20),"-")</f>
        <v/>
      </c>
      <c r="H23" s="11" t="str">
        <f>IFERROR(IF(LEN('Müşteri için Hesap'!D20)=0,"",'Müşteri için Hesap'!D20),"-")</f>
        <v/>
      </c>
      <c r="I23" s="5" t="str">
        <f>IFERROR(IF(LEN('Müşteri için Hesap'!E20)=0,"",'Müşteri için Hesap'!E20),"-")</f>
        <v/>
      </c>
      <c r="J23" s="23" t="str">
        <f>IFERROR(IF(LEN('Müşteri için Hesap'!F20)=0,"",'Müşteri için Hesap'!F20),"-")</f>
        <v/>
      </c>
      <c r="U23" s="12" t="str">
        <f t="array" ref="U23">IFERROR(INDEX($B$4:$B$145,                                    SMALL(IF((LEN($B$4:$B$145)&lt;&gt;0),ROW($B$4:$B$145)-ROW($B$3),"0"),ROW(#REF!)-ROW($B$3))                             ),"0")</f>
        <v>0</v>
      </c>
      <c r="V23" s="12" t="str">
        <f t="array" ref="V23">IFERROR(INDEX($A$4:$A$145,MATCH(0,COUNTIF($V$3:V22,$A$4:$A$145),0)),"0")</f>
        <v>0</v>
      </c>
      <c r="W23" s="13">
        <v>1</v>
      </c>
      <c r="X23" s="13">
        <f t="shared" si="1"/>
        <v>0</v>
      </c>
      <c r="Y23" s="13">
        <f t="shared" si="2"/>
        <v>0</v>
      </c>
      <c r="Z23" s="13"/>
      <c r="AA23" s="13"/>
    </row>
    <row r="24" spans="1:27" x14ac:dyDescent="0.25">
      <c r="A24" s="48" t="s">
        <v>0</v>
      </c>
      <c r="B24" s="15" t="s">
        <v>46</v>
      </c>
      <c r="C24" s="16"/>
      <c r="D24" s="3" t="str">
        <f t="shared" si="0"/>
        <v>KALORİFER TESİSATI-HAZIR</v>
      </c>
      <c r="F24" s="31" t="str">
        <f>IFERROR(IF(LEN('Müşteri için Hesap'!B21)=0,"",'Müşteri için Hesap'!B21),"-")</f>
        <v/>
      </c>
      <c r="G24" s="31" t="str">
        <f>IFERROR(IF(LEN('Müşteri için Hesap'!C21)=0,"",'Müşteri için Hesap'!C21),"-")</f>
        <v/>
      </c>
      <c r="H24" s="11" t="str">
        <f>IFERROR(IF(LEN('Müşteri için Hesap'!D21)=0,"",'Müşteri için Hesap'!D21),"-")</f>
        <v/>
      </c>
      <c r="I24" s="5" t="str">
        <f>IFERROR(IF(LEN('Müşteri için Hesap'!E21)=0,"",'Müşteri için Hesap'!E21),"-")</f>
        <v/>
      </c>
      <c r="J24" s="23" t="str">
        <f>IFERROR(IF(LEN('Müşteri için Hesap'!F21)=0,"",'Müşteri için Hesap'!F21),"-")</f>
        <v/>
      </c>
      <c r="U24" s="12" t="str">
        <f t="array" ref="U24">IFERROR(INDEX($B$4:$B$145,                                    SMALL(IF((LEN($B$4:$B$145)&lt;&gt;0),ROW($B$4:$B$145)-ROW($B$3),"0"),ROW(#REF!)-ROW($B$3))                             ),"0")</f>
        <v>0</v>
      </c>
      <c r="V24" s="12" t="str">
        <f t="array" ref="V24">IFERROR(INDEX($A$4:$A$145,MATCH(0,COUNTIF($V$3:V23,$A$4:$A$145),0)),"0")</f>
        <v>0</v>
      </c>
      <c r="W24" s="13">
        <v>1</v>
      </c>
      <c r="X24" s="13">
        <f t="shared" si="1"/>
        <v>0</v>
      </c>
      <c r="Y24" s="13">
        <f t="shared" si="2"/>
        <v>0</v>
      </c>
      <c r="Z24" s="13"/>
      <c r="AA24" s="13"/>
    </row>
    <row r="25" spans="1:27" x14ac:dyDescent="0.25">
      <c r="A25" s="48" t="s">
        <v>12</v>
      </c>
      <c r="B25" s="15" t="s">
        <v>69</v>
      </c>
      <c r="C25" s="16">
        <v>25500</v>
      </c>
      <c r="D25" s="3" t="str">
        <f>IFERROR(IF(AND(LEN(A25)=0,LEN(B25)=0),"",IF(LEN(B25)=0,A25,A25&amp;"-"&amp;B25)),"")</f>
        <v>KOMBİ-BOSCH_CONDENCE1200İ_20kW</v>
      </c>
      <c r="F25" s="31" t="str">
        <f>IFERROR(IF(LEN('Müşteri için Hesap'!B22)=0,"",'Müşteri için Hesap'!B22),"-")</f>
        <v/>
      </c>
      <c r="G25" s="31" t="str">
        <f>IFERROR(IF(LEN('Müşteri için Hesap'!C22)=0,"",'Müşteri için Hesap'!C22),"-")</f>
        <v/>
      </c>
      <c r="H25" s="11" t="str">
        <f>IFERROR(IF(LEN('Müşteri için Hesap'!D22)=0,"",'Müşteri için Hesap'!D22),"-")</f>
        <v/>
      </c>
      <c r="I25" s="5" t="str">
        <f>IFERROR(IF(LEN('Müşteri için Hesap'!E22)=0,"",'Müşteri için Hesap'!E22),"-")</f>
        <v/>
      </c>
      <c r="J25" s="23" t="str">
        <f>IFERROR(IF(LEN('Müşteri için Hesap'!F22)=0,"",'Müşteri için Hesap'!F22),"-")</f>
        <v/>
      </c>
      <c r="U25" s="12" t="str">
        <f t="array" ref="U25">IFERROR(INDEX($B$4:$B$145,                                    SMALL(IF((LEN($B$4:$B$145)&lt;&gt;0),ROW($B$4:$B$145)-ROW($B$3),"0"),ROW(B9)-ROW($B$3))                             ),"0")</f>
        <v>VAR</v>
      </c>
      <c r="V25" s="12" t="str">
        <f t="array" ref="V25">IFERROR(INDEX($A$4:$A$145,MATCH(0,COUNTIF($V$3:V24,$A$4:$A$145),0)),"0")</f>
        <v>0</v>
      </c>
      <c r="W25" s="13">
        <v>1</v>
      </c>
      <c r="X25" s="13" t="e">
        <f t="shared" si="1"/>
        <v>#VALUE!</v>
      </c>
      <c r="Y25" s="13">
        <f t="shared" si="2"/>
        <v>0</v>
      </c>
      <c r="Z25" s="13"/>
      <c r="AA25" s="13"/>
    </row>
    <row r="26" spans="1:27" x14ac:dyDescent="0.25">
      <c r="A26" s="48" t="s">
        <v>12</v>
      </c>
      <c r="B26" s="15" t="s">
        <v>52</v>
      </c>
      <c r="C26" s="16">
        <v>27000</v>
      </c>
      <c r="D26" s="3" t="str">
        <f t="shared" si="0"/>
        <v>KOMBİ-BOSCH_CONDENCE2200İ_20kW</v>
      </c>
      <c r="F26" s="31" t="str">
        <f>IFERROR(IF(LEN('Müşteri için Hesap'!B23)=0,"",'Müşteri için Hesap'!B23),"-")</f>
        <v/>
      </c>
      <c r="G26" s="31" t="str">
        <f>IFERROR(IF(LEN('Müşteri için Hesap'!C23)=0,"",'Müşteri için Hesap'!C23),"-")</f>
        <v/>
      </c>
      <c r="H26" s="11" t="str">
        <f>IFERROR(IF(LEN('Müşteri için Hesap'!D23)=0,"",'Müşteri için Hesap'!D23),"-")</f>
        <v/>
      </c>
      <c r="I26" s="5" t="str">
        <f>IFERROR(IF(LEN('Müşteri için Hesap'!E23)=0,"",'Müşteri için Hesap'!E23),"-")</f>
        <v/>
      </c>
      <c r="J26" s="23" t="str">
        <f>IFERROR(IF(LEN('Müşteri için Hesap'!F23)=0,"",'Müşteri için Hesap'!F23),"-")</f>
        <v/>
      </c>
      <c r="U26" s="12" t="str">
        <f t="array" ref="U26">IFERROR(INDEX($B$4:$B$145,                                    SMALL(IF((LEN($B$4:$B$145)&lt;&gt;0),ROW($B$4:$B$145)-ROW($B$3),"0"),ROW(B10)-ROW($B$3))                             ),"0")</f>
        <v>YOK</v>
      </c>
      <c r="V26" s="12" t="str">
        <f t="array" ref="V26">IFERROR(INDEX($A$4:$A$145,MATCH(0,COUNTIF($V$3:V25,$A$4:$A$145),0)),"0")</f>
        <v>0</v>
      </c>
      <c r="W26" s="13">
        <v>1</v>
      </c>
      <c r="X26" s="13" t="e">
        <f t="shared" si="1"/>
        <v>#VALUE!</v>
      </c>
      <c r="Y26" s="13">
        <f t="shared" si="2"/>
        <v>0</v>
      </c>
      <c r="Z26" s="13"/>
      <c r="AA26" s="13"/>
    </row>
    <row r="27" spans="1:27" x14ac:dyDescent="0.25">
      <c r="A27" s="48" t="s">
        <v>12</v>
      </c>
      <c r="B27" s="15" t="s">
        <v>71</v>
      </c>
      <c r="C27" s="16">
        <v>27000</v>
      </c>
      <c r="D27" s="3" t="str">
        <f t="shared" si="0"/>
        <v>KOMBİ-BOSCH_CONDENCE1200İ_24kW</v>
      </c>
      <c r="F27" s="31" t="str">
        <f>IFERROR(IF(LEN('Müşteri için Hesap'!B24)=0,"",'Müşteri için Hesap'!B24),"-")</f>
        <v/>
      </c>
      <c r="G27" s="31" t="str">
        <f>IFERROR(IF(LEN('Müşteri için Hesap'!C24)=0,"",'Müşteri için Hesap'!C24),"-")</f>
        <v/>
      </c>
      <c r="H27" s="11" t="str">
        <f>IFERROR(IF(LEN('Müşteri için Hesap'!D24)=0,"",'Müşteri için Hesap'!D24),"-")</f>
        <v/>
      </c>
      <c r="I27" s="5" t="str">
        <f>IFERROR(IF(LEN('Müşteri için Hesap'!E24)=0,"",'Müşteri için Hesap'!E24),"-")</f>
        <v/>
      </c>
      <c r="J27" s="23" t="str">
        <f>IFERROR(IF(LEN('Müşteri için Hesap'!F24)=0,"",'Müşteri için Hesap'!F24),"-")</f>
        <v/>
      </c>
      <c r="U27" s="12" t="str">
        <f t="array" ref="U27">IFERROR(INDEX($B$4:$B$145,                                    SMALL(IF((LEN($B$4:$B$145)&lt;&gt;0),ROW($B$4:$B$145)-ROW($B$3),"0"),ROW(B11)-ROW($B$3))                             ),"0")</f>
        <v>ÇELİK_BORU</v>
      </c>
      <c r="V27" s="12" t="str">
        <f t="array" ref="V27">IFERROR(INDEX($A$4:$A$145,MATCH(0,COUNTIF($V$3:V26,$A$4:$A$145),0)),"0")</f>
        <v>0</v>
      </c>
      <c r="W27" s="13">
        <v>1</v>
      </c>
      <c r="X27" s="13" t="e">
        <f t="shared" si="1"/>
        <v>#VALUE!</v>
      </c>
      <c r="Y27" s="13">
        <f t="shared" si="2"/>
        <v>0</v>
      </c>
      <c r="Z27" s="13"/>
      <c r="AA27" s="13"/>
    </row>
    <row r="28" spans="1:27" x14ac:dyDescent="0.25">
      <c r="A28" s="48" t="s">
        <v>12</v>
      </c>
      <c r="B28" s="15" t="s">
        <v>54</v>
      </c>
      <c r="C28" s="16">
        <v>25000</v>
      </c>
      <c r="D28" s="3" t="str">
        <f t="shared" ref="D28:D36" si="3">IFERROR(IF(AND(LEN(A28)=0,LEN(B28)=0),"",IF(LEN(B28)=0,A28,A28&amp;"-"&amp;B28)),"")</f>
        <v>KOMBİ-ECA_CİTİUS_24kW</v>
      </c>
      <c r="F28" s="31"/>
      <c r="G28" s="31"/>
      <c r="H28" s="11"/>
      <c r="I28" s="5"/>
      <c r="J28" s="23"/>
      <c r="U28" s="12"/>
      <c r="V28" s="12"/>
      <c r="W28" s="13"/>
      <c r="X28" s="13"/>
      <c r="Y28" s="13"/>
      <c r="Z28" s="13"/>
      <c r="AA28" s="13"/>
    </row>
    <row r="29" spans="1:27" x14ac:dyDescent="0.25">
      <c r="A29" s="48" t="s">
        <v>12</v>
      </c>
      <c r="B29" s="15" t="s">
        <v>57</v>
      </c>
      <c r="C29" s="16">
        <v>30000</v>
      </c>
      <c r="D29" s="3" t="str">
        <f t="shared" si="3"/>
        <v>KOMBİ-ECA_PROTEUS_PREMİX_24kW</v>
      </c>
      <c r="F29" s="34"/>
      <c r="G29" s="34"/>
      <c r="H29" s="34"/>
      <c r="J29" s="40"/>
      <c r="U29" s="12" t="str">
        <f t="array" ref="U29">IFERROR(INDEX($B$4:$B$145,                                    SMALL(IF((LEN($B$4:$B$145)&lt;&gt;0),ROW($B$4:$B$145)-ROW($B$3),"0"),ROW(B13)-ROW($B$3))                             ),"0")</f>
        <v>VAR</v>
      </c>
      <c r="V29" s="12" t="str">
        <f t="array" ref="V29">IFERROR(INDEX($A$4:$A$145,MATCH(0,COUNTIF($V$3:V28,$A$4:$A$145),0)),"0")</f>
        <v>0</v>
      </c>
      <c r="W29" s="13">
        <v>1</v>
      </c>
      <c r="X29" s="13" t="e">
        <f t="shared" si="1"/>
        <v>#VALUE!</v>
      </c>
      <c r="Y29" s="13">
        <f t="shared" si="2"/>
        <v>0</v>
      </c>
      <c r="Z29" s="13"/>
      <c r="AA29" s="13"/>
    </row>
    <row r="30" spans="1:27" x14ac:dyDescent="0.25">
      <c r="A30" s="48" t="s">
        <v>12</v>
      </c>
      <c r="B30" s="53" t="s">
        <v>72</v>
      </c>
      <c r="C30" s="16">
        <v>22000</v>
      </c>
      <c r="D30" s="3" t="str">
        <f>IFERROR(IF(AND(LEN(A30)=0,LEN(B30)=0),"",IF(LEN(B30)=0,A30,A30&amp;"-"&amp;B30)),"")</f>
        <v>KOMBİ-AİRFELL_MAESTRO_OPTİMUM_20kW</v>
      </c>
      <c r="F30" s="34" t="str">
        <f>IFERROR(IF(LEN('Müşteri için Hesap'!B27)=0,"",'Müşteri için Hesap'!B27),"-")</f>
        <v/>
      </c>
      <c r="G30" s="34" t="str">
        <f>IFERROR(IF(LEN('Müşteri için Hesap'!C27)=0,"",'Müşteri için Hesap'!C27),"-")</f>
        <v/>
      </c>
      <c r="H30" s="34" t="str">
        <f>IFERROR(IF(LEN('Müşteri için Hesap'!D27)=0,"",'Müşteri için Hesap'!D27),"-")</f>
        <v/>
      </c>
      <c r="I30" s="2" t="str">
        <f>IFERROR(IF(LEN('Müşteri için Hesap'!E27)=0,"",'Müşteri için Hesap'!E27),"-")</f>
        <v>Toplam Tutar</v>
      </c>
      <c r="J30" s="10">
        <f>IFERROR(IF(LEN('Müşteri için Hesap'!F27)=0,"",'Müşteri için Hesap'!F27),"-")</f>
        <v>52970</v>
      </c>
      <c r="U30" s="12" t="str">
        <f t="array" ref="U30">IFERROR(INDEX($B$4:$B$145,                                    SMALL(IF((LEN($B$4:$B$145)&lt;&gt;0),ROW($B$4:$B$145)-ROW($B$3),"0"),ROW(B14)-ROW($B$3))                             ),"0")</f>
        <v>YOK</v>
      </c>
      <c r="V30" s="12" t="str">
        <f t="array" ref="V30">IFERROR(INDEX($A$4:$A$145,MATCH(0,COUNTIF($V$3:V29,$A$4:$A$145),0)),"0")</f>
        <v>0</v>
      </c>
      <c r="W30" s="13">
        <v>1</v>
      </c>
      <c r="X30" s="13" t="e">
        <f t="shared" si="1"/>
        <v>#VALUE!</v>
      </c>
      <c r="Y30" s="13">
        <f t="shared" si="2"/>
        <v>0</v>
      </c>
      <c r="Z30" s="13"/>
      <c r="AA30" s="13"/>
    </row>
    <row r="31" spans="1:27" x14ac:dyDescent="0.25">
      <c r="A31" s="48" t="s">
        <v>12</v>
      </c>
      <c r="B31" s="53" t="s">
        <v>73</v>
      </c>
      <c r="C31" s="16">
        <v>24000</v>
      </c>
      <c r="D31" s="3" t="str">
        <f t="shared" si="3"/>
        <v>KOMBİ-AİRFELL_MAESTRO_OPTİMUM_23kW</v>
      </c>
      <c r="U31" s="12" t="str">
        <f t="array" ref="U31">IFERROR(INDEX($B$4:$B$145,                                    SMALL(IF((LEN($B$4:$B$145)&lt;&gt;0),ROW($B$4:$B$145)-ROW($B$3),"0"),ROW(B16)-ROW($B$3))                             ),"0")</f>
        <v>YOK</v>
      </c>
      <c r="V31" s="12" t="str">
        <f t="array" ref="V31">IFERROR(INDEX($A$4:$A$145,MATCH(0,COUNTIF($V$3:V30,$A$4:$A$145),0)),"0")</f>
        <v>0</v>
      </c>
      <c r="W31" s="13">
        <v>1</v>
      </c>
      <c r="X31" s="13" t="e">
        <f t="shared" si="1"/>
        <v>#VALUE!</v>
      </c>
      <c r="Y31" s="13">
        <f t="shared" si="2"/>
        <v>0</v>
      </c>
      <c r="Z31" s="13"/>
      <c r="AA31" s="13"/>
    </row>
    <row r="32" spans="1:27" x14ac:dyDescent="0.25">
      <c r="A32" s="48" t="s">
        <v>5</v>
      </c>
      <c r="B32" s="15" t="s">
        <v>50</v>
      </c>
      <c r="C32" s="16">
        <v>0</v>
      </c>
      <c r="D32" s="3" t="str">
        <f t="shared" ref="D32:D41" si="4">IFERROR(IF(AND(LEN(A32)=0,LEN(B32)=0),"",IF(LEN(B32)=0,A32,A32&amp;"-"&amp;B32)),"")</f>
        <v>KOMBİ DOLABI-YOK</v>
      </c>
      <c r="U32" s="12" t="str">
        <f t="array" ref="U32">IFERROR(INDEX($B$4:$B$145,                                    SMALL(IF((LEN($B$4:$B$145)&lt;&gt;0),ROW($B$4:$B$145)-ROW($B$3),"0"),ROW(#REF!)-ROW($B$3))                             ),"0")</f>
        <v>0</v>
      </c>
      <c r="V32" s="12" t="str">
        <f t="array" ref="V32">IFERROR(INDEX($A$4:$A$145,MATCH(0,COUNTIF($V$3:V31,$A$4:$A$145),0)),"0")</f>
        <v>0</v>
      </c>
      <c r="W32" s="13">
        <v>1</v>
      </c>
      <c r="X32" s="13">
        <f t="shared" si="1"/>
        <v>0</v>
      </c>
      <c r="Y32" s="13">
        <f t="shared" si="2"/>
        <v>0</v>
      </c>
      <c r="Z32" s="13"/>
      <c r="AA32" s="13"/>
    </row>
    <row r="33" spans="1:27" x14ac:dyDescent="0.25">
      <c r="A33" s="48" t="s">
        <v>5</v>
      </c>
      <c r="B33" s="15" t="s">
        <v>49</v>
      </c>
      <c r="C33" s="16">
        <v>1000</v>
      </c>
      <c r="D33" s="3" t="str">
        <f t="shared" si="4"/>
        <v>KOMBİ DOLABI-VAR</v>
      </c>
      <c r="U33" s="12" t="str">
        <f t="array" ref="U33">IFERROR(INDEX($B$4:$B$145,                                    SMALL(IF((LEN($B$4:$B$145)&lt;&gt;0),ROW($B$4:$B$145)-ROW($B$3),"0"),ROW(#REF!)-ROW($B$3))                             ),"0")</f>
        <v>0</v>
      </c>
      <c r="V33" s="12" t="str">
        <f t="array" ref="V33">IFERROR(INDEX($A$4:$A$145,MATCH(0,COUNTIF($V$3:V32,$A$4:$A$145),0)),"0")</f>
        <v>0</v>
      </c>
      <c r="W33" s="13">
        <v>1</v>
      </c>
      <c r="X33" s="13">
        <f t="shared" si="1"/>
        <v>0</v>
      </c>
      <c r="Y33" s="13">
        <f t="shared" si="2"/>
        <v>0</v>
      </c>
      <c r="Z33" s="13"/>
      <c r="AA33" s="13"/>
    </row>
    <row r="34" spans="1:27" x14ac:dyDescent="0.25">
      <c r="A34" s="48" t="s">
        <v>4</v>
      </c>
      <c r="B34" s="55" t="s">
        <v>74</v>
      </c>
      <c r="C34" s="16">
        <v>1000</v>
      </c>
      <c r="D34" s="3" t="str">
        <f>IFERROR(IF(AND(LEN(A34)=0,LEN(B34)=0),"",IF(LEN(B34)=0,A34,A34&amp;"-"&amp;B34)),"")</f>
        <v>ODA TERMOSTATI-AİRFELL_KABLOSUZ_TERMOSTAT</v>
      </c>
      <c r="U34" s="12" t="str">
        <f t="array" ref="U34">IFERROR(INDEX($B$4:$B$145,                                    SMALL(IF((LEN($B$4:$B$145)&lt;&gt;0),ROW($B$4:$B$145)-ROW($B$3),"0"),ROW(B17)-ROW($B$3))                             ),"0")</f>
        <v>KROM</v>
      </c>
      <c r="V34" s="12" t="str">
        <f t="array" ref="V34">IFERROR(INDEX($A$4:$A$145,MATCH(0,COUNTIF($V$3:V33,$A$4:$A$145),0)),"0")</f>
        <v>0</v>
      </c>
      <c r="W34" s="13">
        <v>1</v>
      </c>
      <c r="X34" s="13" t="e">
        <f t="shared" si="1"/>
        <v>#VALUE!</v>
      </c>
      <c r="Y34" s="13">
        <f t="shared" si="2"/>
        <v>0</v>
      </c>
      <c r="Z34" s="13"/>
      <c r="AA34" s="13"/>
    </row>
    <row r="35" spans="1:27" x14ac:dyDescent="0.25">
      <c r="A35" s="48" t="s">
        <v>4</v>
      </c>
      <c r="B35" s="15" t="s">
        <v>67</v>
      </c>
      <c r="C35" s="16">
        <v>1500</v>
      </c>
      <c r="D35" s="3" t="str">
        <f t="shared" ref="D35:D43" si="5">IFERROR(IF(AND(LEN(A35)=0,LEN(B35)=0),"",IF(LEN(B35)=0,A35,A35&amp;"-"&amp;B35)),"")</f>
        <v>ODA TERMOSTATI-ECA_KABLOSUZ_TERMOSTAT</v>
      </c>
      <c r="U35" s="12" t="str">
        <f t="array" ref="U35">IFERROR(INDEX($B$4:$B$145,                                    SMALL(IF((LEN($B$4:$B$145)&lt;&gt;0),ROW($B$4:$B$145)-ROW($B$3),"0"),ROW(B18)-ROW($B$3))                             ),"0")</f>
        <v>BEYAZ</v>
      </c>
      <c r="V35" s="12" t="str">
        <f t="array" ref="V35">IFERROR(INDEX($A$4:$A$145,MATCH(0,COUNTIF($V$3:V34,$A$4:$A$145),0)),"0")</f>
        <v>0</v>
      </c>
      <c r="W35" s="13">
        <v>1</v>
      </c>
      <c r="X35" s="13" t="e">
        <f t="shared" si="1"/>
        <v>#VALUE!</v>
      </c>
      <c r="Y35" s="13">
        <f t="shared" si="2"/>
        <v>0</v>
      </c>
      <c r="Z35" s="13"/>
      <c r="AA35" s="13"/>
    </row>
    <row r="36" spans="1:27" x14ac:dyDescent="0.25">
      <c r="A36" s="48" t="s">
        <v>4</v>
      </c>
      <c r="B36" s="15" t="s">
        <v>66</v>
      </c>
      <c r="C36" s="16">
        <v>1500</v>
      </c>
      <c r="D36" s="3" t="str">
        <f t="shared" si="5"/>
        <v>ODA TERMOSTATI-BOSCH_KABLOSUZ_TERMOSTAT</v>
      </c>
      <c r="U36" s="12" t="str">
        <f t="array" ref="U36">IFERROR(INDEX($B$4:$B$145,                                    SMALL(IF((LEN($B$4:$B$145)&lt;&gt;0),ROW($B$4:$B$145)-ROW($B$3),"0"),ROW(B19)-ROW($B$3))                             ),"0")</f>
        <v>MONTAJ</v>
      </c>
      <c r="V36" s="12" t="str">
        <f t="array" ref="V36">IFERROR(INDEX($A$4:$A$145,MATCH(0,COUNTIF($V$3:V35,$A$4:$A$145),0)),"0")</f>
        <v>0</v>
      </c>
      <c r="W36" s="13">
        <v>1</v>
      </c>
      <c r="X36" s="13" t="e">
        <f t="shared" si="1"/>
        <v>#VALUE!</v>
      </c>
      <c r="Y36" s="13">
        <f t="shared" si="2"/>
        <v>0</v>
      </c>
      <c r="Z36" s="13"/>
      <c r="AA36" s="13"/>
    </row>
    <row r="37" spans="1:27" x14ac:dyDescent="0.25">
      <c r="A37" s="48" t="s">
        <v>4</v>
      </c>
      <c r="B37" s="15" t="s">
        <v>50</v>
      </c>
      <c r="C37" s="16"/>
      <c r="D37" s="3" t="str">
        <f t="shared" si="5"/>
        <v>ODA TERMOSTATI-YOK</v>
      </c>
      <c r="U37" s="12" t="str">
        <f t="array" ref="U37">IFERROR(INDEX($B$4:$B$145,                                    SMALL(IF((LEN($B$4:$B$145)&lt;&gt;0),ROW($B$4:$B$145)-ROW($B$3),"0"),ROW(B20)-ROW($B$3))                             ),"0")</f>
        <v>KOMPLE</v>
      </c>
      <c r="V37" s="12" t="str">
        <f t="array" ref="V37">IFERROR(INDEX($A$4:$A$145,MATCH(0,COUNTIF($V$3:V36,$A$4:$A$145),0)),"0")</f>
        <v>0</v>
      </c>
      <c r="W37" s="13">
        <v>1</v>
      </c>
      <c r="X37" s="13" t="e">
        <f t="shared" si="1"/>
        <v>#VALUE!</v>
      </c>
      <c r="Y37" s="13">
        <f t="shared" si="2"/>
        <v>0</v>
      </c>
      <c r="Z37" s="13"/>
      <c r="AA37" s="13"/>
    </row>
    <row r="38" spans="1:27" x14ac:dyDescent="0.25">
      <c r="A38" s="48" t="s">
        <v>2</v>
      </c>
      <c r="B38" s="15" t="s">
        <v>44</v>
      </c>
      <c r="C38" s="16">
        <v>2250</v>
      </c>
      <c r="D38" s="3" t="str">
        <f t="shared" si="5"/>
        <v>RADYATÖR-ECA</v>
      </c>
      <c r="U38" s="12" t="str">
        <f t="array" ref="U38">IFERROR(INDEX($B$4:$B$145,                                    SMALL(IF((LEN($B$4:$B$145)&lt;&gt;0),ROW($B$4:$B$145)-ROW($B$3),"0"),ROW(B21)-ROW($B$3))                             ),"0")</f>
        <v>KOMBİ + GAZ</v>
      </c>
      <c r="V38" s="12" t="str">
        <f t="array" ref="V38">IFERROR(INDEX($A$4:$A$145,MATCH(0,COUNTIF($V$3:V37,$A$4:$A$145),0)),"0")</f>
        <v>0</v>
      </c>
      <c r="W38" s="13">
        <v>1</v>
      </c>
      <c r="X38" s="13" t="e">
        <f t="shared" si="1"/>
        <v>#VALUE!</v>
      </c>
      <c r="Y38" s="13">
        <f t="shared" si="2"/>
        <v>0</v>
      </c>
      <c r="Z38" s="13"/>
      <c r="AA38" s="13"/>
    </row>
    <row r="39" spans="1:27" x14ac:dyDescent="0.25">
      <c r="A39" s="48" t="s">
        <v>2</v>
      </c>
      <c r="B39" s="15" t="s">
        <v>68</v>
      </c>
      <c r="C39" s="16">
        <v>1850</v>
      </c>
      <c r="D39" s="3" t="str">
        <f>IFERROR(IF(AND(LEN(A39)=0,LEN(B39)=0),"",IF(LEN(B39)=0,A39,A39&amp;"-"&amp;B39)),"")</f>
        <v>RADYATÖR-WARMHAUS</v>
      </c>
      <c r="U39" s="12" t="str">
        <f t="array" ref="U39">IFERROR(INDEX($B$4:$B$145,                                    SMALL(IF((LEN($B$4:$B$145)&lt;&gt;0),ROW($B$4:$B$145)-ROW($B$3),"0"),ROW(B22)-ROW($B$3))                             ),"0")</f>
        <v>KOMPLE</v>
      </c>
      <c r="V39" s="12" t="str">
        <f t="array" ref="V39">IFERROR(INDEX($A$4:$A$145,MATCH(0,COUNTIF($V$3:V38,$A$4:$A$145),0)),"0")</f>
        <v>0</v>
      </c>
      <c r="W39" s="13">
        <v>1</v>
      </c>
      <c r="X39" s="13" t="e">
        <f t="shared" si="1"/>
        <v>#VALUE!</v>
      </c>
      <c r="Y39" s="13">
        <f t="shared" si="2"/>
        <v>0</v>
      </c>
      <c r="Z39" s="13"/>
      <c r="AA39" s="13"/>
    </row>
    <row r="40" spans="1:27" x14ac:dyDescent="0.25">
      <c r="A40" s="48" t="s">
        <v>3</v>
      </c>
      <c r="B40" s="15" t="s">
        <v>14</v>
      </c>
      <c r="C40" s="16">
        <v>105</v>
      </c>
      <c r="D40" s="3" t="str">
        <f t="shared" ref="D40:D43" si="6">IFERROR(IF(AND(LEN(A40)=0,LEN(B40)=0),"",IF(LEN(B40)=0,A40,A40&amp;"-"&amp;B40)),"")</f>
        <v>RADYATÖR VANASI-KALDE</v>
      </c>
      <c r="U40" s="12" t="str">
        <f t="array" ref="U40">IFERROR(INDEX($B$4:$B$145,                                    SMALL(IF((LEN($B$4:$B$145)&lt;&gt;0),ROW($B$4:$B$145)-ROW($B$3),"0"),ROW(B23)-ROW($B$3))                             ),"0")</f>
        <v>ÖTELEME</v>
      </c>
      <c r="V40" s="12" t="str">
        <f t="array" ref="V40">IFERROR(INDEX($A$4:$A$145,MATCH(0,COUNTIF($V$3:V39,$A$4:$A$145),0)),"0")</f>
        <v>0</v>
      </c>
      <c r="W40" s="13">
        <v>1</v>
      </c>
      <c r="X40" s="13" t="e">
        <f t="shared" si="1"/>
        <v>#VALUE!</v>
      </c>
      <c r="Y40" s="13">
        <f t="shared" si="2"/>
        <v>0</v>
      </c>
      <c r="Z40" s="13"/>
      <c r="AA40" s="13"/>
    </row>
    <row r="41" spans="1:27" x14ac:dyDescent="0.25">
      <c r="A41" s="48" t="s">
        <v>3</v>
      </c>
      <c r="B41" s="15" t="s">
        <v>44</v>
      </c>
      <c r="C41" s="16">
        <v>190</v>
      </c>
      <c r="D41" s="3" t="str">
        <f t="shared" si="6"/>
        <v>RADYATÖR VANASI-ECA</v>
      </c>
      <c r="U41" s="12" t="str">
        <f t="array" ref="U41">IFERROR(INDEX($B$4:$B$145,                                    SMALL(IF((LEN($B$4:$B$145)&lt;&gt;0),ROW($B$4:$B$145)-ROW($B$3),"0"),ROW(B24)-ROW($B$3))                             ),"0")</f>
        <v>HAZIR</v>
      </c>
      <c r="V41" s="12" t="str">
        <f t="array" ref="V41">IFERROR(INDEX($A$4:$A$145,MATCH(0,COUNTIF($V$3:V40,$A$4:$A$145),0)),"0")</f>
        <v>0</v>
      </c>
      <c r="W41" s="13">
        <v>1</v>
      </c>
      <c r="X41" s="13" t="e">
        <f t="shared" si="1"/>
        <v>#VALUE!</v>
      </c>
      <c r="Y41" s="13">
        <f t="shared" si="2"/>
        <v>0</v>
      </c>
      <c r="Z41" s="13"/>
      <c r="AA41" s="13"/>
    </row>
    <row r="42" spans="1:27" x14ac:dyDescent="0.25">
      <c r="A42" s="48" t="s">
        <v>58</v>
      </c>
      <c r="B42" s="15" t="s">
        <v>49</v>
      </c>
      <c r="C42" s="16">
        <v>1000</v>
      </c>
      <c r="D42" s="3" t="str">
        <f t="shared" si="6"/>
        <v>FİRMA GİDERİ-VAR</v>
      </c>
      <c r="U42" s="12" t="str">
        <f t="array" ref="U42">IFERROR(INDEX($B$4:$B$145,                                    SMALL(IF((LEN($B$4:$B$145)&lt;&gt;0),ROW($B$4:$B$145)-ROW($B$3),"0"),ROW(#REF!)-ROW($B$3))                             ),"0")</f>
        <v>0</v>
      </c>
      <c r="V42" s="12" t="str">
        <f t="array" ref="V42">IFERROR(INDEX($A$4:$A$145,MATCH(0,COUNTIF($V$3:V41,$A$4:$A$145),0)),"0")</f>
        <v>0</v>
      </c>
      <c r="W42" s="13">
        <v>1</v>
      </c>
      <c r="X42" s="13">
        <f t="shared" si="1"/>
        <v>0</v>
      </c>
      <c r="Y42" s="13">
        <f t="shared" si="2"/>
        <v>0</v>
      </c>
      <c r="Z42" s="13"/>
      <c r="AA42" s="13"/>
    </row>
    <row r="43" spans="1:27" x14ac:dyDescent="0.25">
      <c r="A43" s="48" t="s">
        <v>58</v>
      </c>
      <c r="B43" s="15" t="s">
        <v>50</v>
      </c>
      <c r="C43" s="16">
        <v>0</v>
      </c>
      <c r="D43" s="3" t="str">
        <f t="shared" si="6"/>
        <v>FİRMA GİDERİ-YOK</v>
      </c>
      <c r="U43" s="12" t="str">
        <f t="array" ref="U43">IFERROR(INDEX($B$4:$B$145,                                    SMALL(IF((LEN($B$4:$B$145)&lt;&gt;0),ROW($B$4:$B$145)-ROW($B$3),"0"),ROW(B26)-ROW($B$3))                             ),"0")</f>
        <v>BOSCH_CONDENCE2200İ_20kW</v>
      </c>
      <c r="V43" s="12" t="str">
        <f t="array" ref="V43">IFERROR(INDEX($A$4:$A$145,MATCH(0,COUNTIF($V$3:V42,$A$4:$A$145),0)),"0")</f>
        <v>0</v>
      </c>
      <c r="W43" s="13">
        <v>1</v>
      </c>
      <c r="X43" s="13" t="e">
        <f t="shared" si="1"/>
        <v>#VALUE!</v>
      </c>
      <c r="Y43" s="13">
        <f t="shared" si="2"/>
        <v>0</v>
      </c>
      <c r="Z43" s="13"/>
      <c r="AA43" s="13"/>
    </row>
    <row r="44" spans="1:27" x14ac:dyDescent="0.25">
      <c r="A44" s="48"/>
      <c r="B44" s="15"/>
      <c r="C44" s="16"/>
      <c r="D44" s="3" t="str">
        <f t="shared" ref="D37:D63" si="7">IFERROR(IF(AND(LEN(A44)=0,LEN(B44)=0),"",IF(LEN(B44)=0,A44,A44&amp;"-"&amp;B44)),"")</f>
        <v/>
      </c>
      <c r="U44" s="12" t="str">
        <f t="array" ref="U44">IFERROR(INDEX($B$4:$B$145,                                    SMALL(IF((LEN($B$4:$B$145)&lt;&gt;0),ROW($B$4:$B$145)-ROW($B$3),"0"),ROW(B27)-ROW($B$3))                             ),"0")</f>
        <v>BOSCH_CONDENCE1200İ_24kW</v>
      </c>
      <c r="V44" s="12" t="str">
        <f t="array" ref="V44">IFERROR(INDEX($A$4:$A$145,MATCH(0,COUNTIF($V$3:V43,$A$4:$A$145),0)),"0")</f>
        <v>0</v>
      </c>
      <c r="W44" s="13">
        <v>1</v>
      </c>
      <c r="X44" s="13" t="e">
        <f t="shared" si="1"/>
        <v>#VALUE!</v>
      </c>
      <c r="Y44" s="13">
        <f t="shared" si="2"/>
        <v>0</v>
      </c>
      <c r="Z44" s="13"/>
      <c r="AA44" s="13"/>
    </row>
    <row r="45" spans="1:27" x14ac:dyDescent="0.25">
      <c r="A45" s="48"/>
      <c r="B45" s="15"/>
      <c r="C45" s="16"/>
      <c r="D45" s="3" t="str">
        <f t="shared" si="7"/>
        <v/>
      </c>
      <c r="U45" s="12" t="str">
        <f t="array" ref="U45">IFERROR(INDEX($B$4:$B$145,                                    SMALL(IF((LEN($B$4:$B$145)&lt;&gt;0),ROW($B$4:$B$145)-ROW($B$3),"0"),ROW(#REF!)-ROW($B$3))                             ),"0")</f>
        <v>0</v>
      </c>
      <c r="V45" s="12" t="str">
        <f t="array" ref="V45">IFERROR(INDEX($A$4:$A$145,MATCH(0,COUNTIF($V$3:V44,$A$4:$A$145),0)),"0")</f>
        <v>0</v>
      </c>
      <c r="W45" s="13">
        <v>1</v>
      </c>
      <c r="X45" s="13">
        <f t="shared" si="1"/>
        <v>0</v>
      </c>
      <c r="Y45" s="13">
        <f t="shared" si="2"/>
        <v>0</v>
      </c>
      <c r="Z45" s="13"/>
      <c r="AA45" s="13"/>
    </row>
    <row r="46" spans="1:27" x14ac:dyDescent="0.25">
      <c r="A46" s="48"/>
      <c r="B46" s="15"/>
      <c r="C46" s="16"/>
      <c r="D46" s="3" t="str">
        <f t="shared" si="7"/>
        <v/>
      </c>
      <c r="U46" s="12" t="str">
        <f t="array" ref="U46">IFERROR(INDEX($B$4:$B$145,                                    SMALL(IF((LEN($B$4:$B$145)&lt;&gt;0),ROW($B$4:$B$145)-ROW($B$3),"0"),ROW(#REF!)-ROW($B$3))                             ),"0")</f>
        <v>0</v>
      </c>
      <c r="V46" s="12" t="str">
        <f t="array" ref="V46">IFERROR(INDEX($A$4:$A$145,MATCH(0,COUNTIF($V$3:V45,$A$4:$A$145),0)),"0")</f>
        <v>0</v>
      </c>
      <c r="W46" s="13">
        <v>1</v>
      </c>
      <c r="X46" s="13">
        <f t="shared" si="1"/>
        <v>0</v>
      </c>
      <c r="Y46" s="13">
        <f t="shared" si="2"/>
        <v>0</v>
      </c>
      <c r="Z46" s="13"/>
      <c r="AA46" s="13"/>
    </row>
    <row r="47" spans="1:27" x14ac:dyDescent="0.25">
      <c r="A47" s="48"/>
      <c r="B47" s="15"/>
      <c r="C47" s="16"/>
      <c r="D47" s="3" t="str">
        <f t="shared" si="7"/>
        <v/>
      </c>
      <c r="U47" s="12" t="str">
        <f t="array" ref="U47">IFERROR(INDEX($B$4:$B$145,                                    SMALL(IF((LEN($B$4:$B$145)&lt;&gt;0),ROW($B$4:$B$145)-ROW($B$3),"0"),ROW(#REF!)-ROW($B$3))                             ),"0")</f>
        <v>0</v>
      </c>
      <c r="V47" s="12" t="str">
        <f t="array" ref="V47">IFERROR(INDEX($A$4:$A$145,MATCH(0,COUNTIF($V$3:V46,$A$4:$A$145),0)),"0")</f>
        <v>0</v>
      </c>
      <c r="W47" s="13">
        <v>1</v>
      </c>
      <c r="X47" s="13">
        <f t="shared" si="1"/>
        <v>0</v>
      </c>
      <c r="Y47" s="13">
        <f t="shared" si="2"/>
        <v>0</v>
      </c>
      <c r="Z47" s="13"/>
      <c r="AA47" s="13"/>
    </row>
    <row r="48" spans="1:27" x14ac:dyDescent="0.25">
      <c r="A48" s="48"/>
      <c r="B48" s="15"/>
      <c r="C48" s="16"/>
      <c r="D48" s="3" t="str">
        <f t="shared" si="7"/>
        <v/>
      </c>
      <c r="U48" s="12" t="str">
        <f t="array" ref="U48">IFERROR(INDEX($B$4:$B$145,                                    SMALL(IF((LEN($B$4:$B$145)&lt;&gt;0),ROW($B$4:$B$145)-ROW($B$3),"0"),ROW(#REF!)-ROW($B$3))                             ),"0")</f>
        <v>0</v>
      </c>
      <c r="V48" s="12" t="str">
        <f t="array" ref="V48">IFERROR(INDEX($A$4:$A$145,MATCH(0,COUNTIF($V$3:V47,$A$4:$A$145),0)),"0")</f>
        <v>0</v>
      </c>
      <c r="W48" s="13">
        <v>1</v>
      </c>
      <c r="X48" s="13">
        <f t="shared" si="1"/>
        <v>0</v>
      </c>
      <c r="Y48" s="13">
        <f t="shared" si="2"/>
        <v>0</v>
      </c>
      <c r="Z48" s="13"/>
      <c r="AA48" s="13"/>
    </row>
    <row r="49" spans="1:27" x14ac:dyDescent="0.25">
      <c r="A49" s="48"/>
      <c r="B49" s="15"/>
      <c r="C49" s="16"/>
      <c r="D49" s="3" t="str">
        <f t="shared" si="7"/>
        <v/>
      </c>
      <c r="U49" s="12" t="str">
        <f t="array" ref="U49">IFERROR(INDEX($B$4:$B$145,                                    SMALL(IF((LEN($B$4:$B$145)&lt;&gt;0),ROW($B$4:$B$145)-ROW($B$3),"0"),ROW(#REF!)-ROW($B$3))                             ),"0")</f>
        <v>0</v>
      </c>
      <c r="V49" s="12" t="str">
        <f t="array" ref="V49">IFERROR(INDEX($A$4:$A$145,MATCH(0,COUNTIF($V$3:V48,$A$4:$A$145),0)),"0")</f>
        <v>0</v>
      </c>
      <c r="W49" s="13">
        <v>1</v>
      </c>
      <c r="X49" s="13">
        <f t="shared" si="1"/>
        <v>0</v>
      </c>
      <c r="Y49" s="13">
        <f t="shared" si="2"/>
        <v>0</v>
      </c>
      <c r="Z49" s="13"/>
      <c r="AA49" s="13"/>
    </row>
    <row r="50" spans="1:27" x14ac:dyDescent="0.25">
      <c r="A50" s="48"/>
      <c r="B50" s="15"/>
      <c r="C50" s="16"/>
      <c r="D50" s="3" t="str">
        <f t="shared" si="7"/>
        <v/>
      </c>
      <c r="U50" s="12" t="str">
        <f t="array" ref="U50">IFERROR(INDEX($B$4:$B$145,                                    SMALL(IF((LEN($B$4:$B$145)&lt;&gt;0),ROW($B$4:$B$145)-ROW($B$3),"0"),ROW(#REF!)-ROW($B$3))                             ),"0")</f>
        <v>0</v>
      </c>
      <c r="V50" s="12" t="str">
        <f t="array" ref="V50">IFERROR(INDEX($A$4:$A$145,MATCH(0,COUNTIF($V$3:V49,$A$4:$A$145),0)),"0")</f>
        <v>0</v>
      </c>
      <c r="W50" s="13">
        <v>1</v>
      </c>
      <c r="X50" s="13">
        <f t="shared" si="1"/>
        <v>0</v>
      </c>
      <c r="Y50" s="13">
        <f t="shared" si="2"/>
        <v>0</v>
      </c>
      <c r="Z50" s="13"/>
      <c r="AA50" s="13"/>
    </row>
    <row r="51" spans="1:27" x14ac:dyDescent="0.25">
      <c r="A51" s="48"/>
      <c r="B51" s="15"/>
      <c r="C51" s="16"/>
      <c r="D51" s="3" t="str">
        <f t="shared" si="7"/>
        <v/>
      </c>
      <c r="U51" s="12" t="str">
        <f t="array" ref="U51">IFERROR(INDEX($B$4:$B$145,                                    SMALL(IF((LEN($B$4:$B$145)&lt;&gt;0),ROW($B$4:$B$145)-ROW($B$3),"0"),ROW(#REF!)-ROW($B$3))                             ),"0")</f>
        <v>0</v>
      </c>
      <c r="V51" s="12" t="str">
        <f t="array" ref="V51">IFERROR(INDEX($A$4:$A$145,MATCH(0,COUNTIF($V$3:V50,$A$4:$A$145),0)),"0")</f>
        <v>0</v>
      </c>
      <c r="W51" s="13">
        <v>1</v>
      </c>
      <c r="X51" s="13">
        <f t="shared" si="1"/>
        <v>0</v>
      </c>
      <c r="Y51" s="13">
        <f t="shared" si="2"/>
        <v>0</v>
      </c>
      <c r="Z51" s="13"/>
      <c r="AA51" s="13"/>
    </row>
    <row r="52" spans="1:27" x14ac:dyDescent="0.25">
      <c r="A52" s="48"/>
      <c r="B52" s="15"/>
      <c r="C52" s="16"/>
      <c r="D52" s="3" t="str">
        <f t="shared" si="7"/>
        <v/>
      </c>
      <c r="U52" s="12" t="str">
        <f t="array" ref="U52">IFERROR(INDEX($B$4:$B$145,                                    SMALL(IF((LEN($B$4:$B$145)&lt;&gt;0),ROW($B$4:$B$145)-ROW($B$3),"0"),ROW(#REF!)-ROW($B$3))                             ),"0")</f>
        <v>0</v>
      </c>
      <c r="V52" s="12" t="str">
        <f t="array" ref="V52">IFERROR(INDEX($A$4:$A$145,MATCH(0,COUNTIF($V$3:V51,$A$4:$A$145),0)),"0")</f>
        <v>0</v>
      </c>
      <c r="W52" s="13">
        <v>1</v>
      </c>
      <c r="X52" s="13">
        <f t="shared" si="1"/>
        <v>0</v>
      </c>
      <c r="Y52" s="13">
        <f t="shared" si="2"/>
        <v>0</v>
      </c>
      <c r="Z52" s="13"/>
      <c r="AA52" s="13"/>
    </row>
    <row r="53" spans="1:27" x14ac:dyDescent="0.25">
      <c r="A53" s="48"/>
      <c r="B53" s="15"/>
      <c r="C53" s="16"/>
      <c r="D53" s="3" t="str">
        <f t="shared" si="7"/>
        <v/>
      </c>
      <c r="U53" s="12" t="str">
        <f t="array" ref="U53">IFERROR(INDEX($B$4:$B$145,                                    SMALL(IF((LEN($B$4:$B$145)&lt;&gt;0),ROW($B$4:$B$145)-ROW($B$3),"0"),ROW(#REF!)-ROW($B$3))                             ),"0")</f>
        <v>0</v>
      </c>
      <c r="V53" s="12" t="str">
        <f t="array" ref="V53">IFERROR(INDEX($A$4:$A$145,MATCH(0,COUNTIF($V$3:V52,$A$4:$A$145),0)),"0")</f>
        <v>0</v>
      </c>
      <c r="W53" s="13">
        <v>1</v>
      </c>
      <c r="X53" s="13">
        <f t="shared" si="1"/>
        <v>0</v>
      </c>
      <c r="Y53" s="13">
        <f t="shared" si="2"/>
        <v>0</v>
      </c>
      <c r="Z53" s="13"/>
      <c r="AA53" s="13"/>
    </row>
    <row r="54" spans="1:27" x14ac:dyDescent="0.25">
      <c r="A54" s="48"/>
      <c r="B54" s="15"/>
      <c r="C54" s="16"/>
      <c r="D54" s="3" t="str">
        <f t="shared" si="7"/>
        <v/>
      </c>
      <c r="U54" s="12" t="str">
        <f t="array" ref="U54">IFERROR(INDEX($B$4:$B$145,                                    SMALL(IF((LEN($B$4:$B$145)&lt;&gt;0),ROW($B$4:$B$145)-ROW($B$3),"0"),ROW(#REF!)-ROW($B$3))                             ),"0")</f>
        <v>0</v>
      </c>
      <c r="V54" s="12" t="str">
        <f t="array" ref="V54">IFERROR(INDEX($A$4:$A$145,MATCH(0,COUNTIF($V$3:V53,$A$4:$A$145),0)),"0")</f>
        <v>0</v>
      </c>
      <c r="W54" s="13">
        <v>1</v>
      </c>
      <c r="X54" s="13">
        <f t="shared" si="1"/>
        <v>0</v>
      </c>
      <c r="Y54" s="13">
        <f t="shared" si="2"/>
        <v>0</v>
      </c>
      <c r="Z54" s="13"/>
      <c r="AA54" s="13"/>
    </row>
    <row r="55" spans="1:27" x14ac:dyDescent="0.25">
      <c r="A55" s="48"/>
      <c r="B55" s="15"/>
      <c r="C55" s="16"/>
      <c r="D55" s="3" t="str">
        <f t="shared" si="7"/>
        <v/>
      </c>
      <c r="U55" s="12" t="str">
        <f t="array" ref="U55">IFERROR(INDEX($B$4:$B$145,                                    SMALL(IF((LEN($B$4:$B$145)&lt;&gt;0),ROW($B$4:$B$145)-ROW($B$3),"0"),ROW(#REF!)-ROW($B$3))                             ),"0")</f>
        <v>0</v>
      </c>
      <c r="V55" s="12" t="str">
        <f t="array" ref="V55">IFERROR(INDEX($A$4:$A$145,MATCH(0,COUNTIF($V$3:V54,$A$4:$A$145),0)),"0")</f>
        <v>0</v>
      </c>
      <c r="W55" s="13">
        <v>1</v>
      </c>
      <c r="X55" s="13">
        <f t="shared" si="1"/>
        <v>0</v>
      </c>
      <c r="Y55" s="13">
        <f t="shared" si="2"/>
        <v>0</v>
      </c>
      <c r="Z55" s="13"/>
      <c r="AA55" s="13"/>
    </row>
    <row r="56" spans="1:27" x14ac:dyDescent="0.25">
      <c r="A56" s="48"/>
      <c r="B56" s="15"/>
      <c r="C56" s="16"/>
      <c r="D56" s="3" t="str">
        <f t="shared" si="7"/>
        <v/>
      </c>
      <c r="U56" s="12" t="str">
        <f t="array" ref="U56">IFERROR(INDEX($B$4:$B$145,                                    SMALL(IF((LEN($B$4:$B$145)&lt;&gt;0),ROW($B$4:$B$145)-ROW($B$3),"0"),ROW(#REF!)-ROW($B$3))                             ),"0")</f>
        <v>0</v>
      </c>
      <c r="V56" s="12" t="str">
        <f t="array" ref="V56">IFERROR(INDEX($A$4:$A$145,MATCH(0,COUNTIF($V$3:V55,$A$4:$A$145),0)),"0")</f>
        <v>0</v>
      </c>
      <c r="W56" s="13">
        <v>1</v>
      </c>
      <c r="X56" s="13">
        <f t="shared" si="1"/>
        <v>0</v>
      </c>
      <c r="Y56" s="13">
        <f t="shared" si="2"/>
        <v>0</v>
      </c>
      <c r="Z56" s="13"/>
      <c r="AA56" s="13"/>
    </row>
    <row r="57" spans="1:27" x14ac:dyDescent="0.25">
      <c r="A57" s="48"/>
      <c r="B57" s="15"/>
      <c r="C57" s="16"/>
      <c r="D57" s="3" t="str">
        <f t="shared" si="7"/>
        <v/>
      </c>
      <c r="U57" s="12" t="str">
        <f t="array" ref="U57">IFERROR(INDEX($B$4:$B$145,                                    SMALL(IF((LEN($B$4:$B$145)&lt;&gt;0),ROW($B$4:$B$145)-ROW($B$3),"0"),ROW(#REF!)-ROW($B$3))                             ),"0")</f>
        <v>0</v>
      </c>
      <c r="V57" s="12" t="str">
        <f t="array" ref="V57">IFERROR(INDEX($A$4:$A$145,MATCH(0,COUNTIF($V$3:V56,$A$4:$A$145),0)),"0")</f>
        <v>0</v>
      </c>
      <c r="W57" s="13">
        <v>1</v>
      </c>
      <c r="X57" s="13">
        <f t="shared" si="1"/>
        <v>0</v>
      </c>
      <c r="Y57" s="13">
        <f t="shared" si="2"/>
        <v>0</v>
      </c>
      <c r="Z57" s="13"/>
      <c r="AA57" s="13"/>
    </row>
    <row r="58" spans="1:27" x14ac:dyDescent="0.25">
      <c r="A58" s="48"/>
      <c r="B58" s="15"/>
      <c r="C58" s="16"/>
      <c r="D58" s="3" t="str">
        <f t="shared" si="7"/>
        <v/>
      </c>
      <c r="U58" s="12" t="str">
        <f t="array" ref="U58">IFERROR(INDEX($B$4:$B$145,                                    SMALL(IF((LEN($B$4:$B$145)&lt;&gt;0),ROW($B$4:$B$145)-ROW($B$3),"0"),ROW(#REF!)-ROW($B$3))                             ),"0")</f>
        <v>0</v>
      </c>
      <c r="V58" s="12" t="str">
        <f t="array" ref="V58">IFERROR(INDEX($A$4:$A$145,MATCH(0,COUNTIF($V$3:V57,$A$4:$A$145),0)),"0")</f>
        <v>0</v>
      </c>
      <c r="W58" s="13">
        <v>1</v>
      </c>
      <c r="X58" s="13">
        <f t="shared" si="1"/>
        <v>0</v>
      </c>
      <c r="Y58" s="13">
        <f t="shared" si="2"/>
        <v>0</v>
      </c>
      <c r="Z58" s="13"/>
      <c r="AA58" s="13"/>
    </row>
    <row r="59" spans="1:27" x14ac:dyDescent="0.25">
      <c r="A59" s="48"/>
      <c r="B59" s="15"/>
      <c r="C59" s="16"/>
      <c r="D59" s="3" t="str">
        <f t="shared" si="7"/>
        <v/>
      </c>
      <c r="U59" s="12" t="str">
        <f t="array" ref="U59">IFERROR(INDEX($B$4:$B$145,                                    SMALL(IF((LEN($B$4:$B$145)&lt;&gt;0),ROW($B$4:$B$145)-ROW($B$3),"0"),ROW(#REF!)-ROW($B$3))                             ),"0")</f>
        <v>0</v>
      </c>
      <c r="V59" s="12" t="str">
        <f t="array" ref="V59">IFERROR(INDEX($A$4:$A$145,MATCH(0,COUNTIF($V$3:V58,$A$4:$A$145),0)),"0")</f>
        <v>0</v>
      </c>
      <c r="W59" s="13">
        <v>1</v>
      </c>
      <c r="X59" s="13">
        <f t="shared" si="1"/>
        <v>0</v>
      </c>
      <c r="Y59" s="13">
        <f t="shared" si="2"/>
        <v>0</v>
      </c>
      <c r="Z59" s="13"/>
      <c r="AA59" s="13"/>
    </row>
    <row r="60" spans="1:27" x14ac:dyDescent="0.25">
      <c r="A60" s="48"/>
      <c r="B60" s="15"/>
      <c r="C60" s="16"/>
      <c r="D60" s="3" t="str">
        <f t="shared" si="7"/>
        <v/>
      </c>
      <c r="U60" s="12" t="str">
        <f t="array" ref="U60">IFERROR(INDEX($B$4:$B$145,                                    SMALL(IF((LEN($B$4:$B$145)&lt;&gt;0),ROW($B$4:$B$145)-ROW($B$3),"0"),ROW(#REF!)-ROW($B$3))                             ),"0")</f>
        <v>0</v>
      </c>
      <c r="V60" s="12" t="str">
        <f t="array" ref="V60">IFERROR(INDEX($A$4:$A$145,MATCH(0,COUNTIF($V$3:V59,$A$4:$A$145),0)),"0")</f>
        <v>0</v>
      </c>
      <c r="W60" s="13">
        <v>1</v>
      </c>
      <c r="X60" s="13">
        <f t="shared" si="1"/>
        <v>0</v>
      </c>
      <c r="Y60" s="13">
        <f t="shared" si="2"/>
        <v>0</v>
      </c>
      <c r="Z60" s="13"/>
      <c r="AA60" s="13"/>
    </row>
    <row r="61" spans="1:27" x14ac:dyDescent="0.25">
      <c r="A61" s="48"/>
      <c r="B61" s="15"/>
      <c r="C61" s="16"/>
      <c r="D61" s="3" t="str">
        <f t="shared" si="7"/>
        <v/>
      </c>
      <c r="U61" s="12" t="str">
        <f t="array" ref="U61">IFERROR(INDEX($B$4:$B$145,                                    SMALL(IF((LEN($B$4:$B$145)&lt;&gt;0),ROW($B$4:$B$145)-ROW($B$3),"0"),ROW(#REF!)-ROW($B$3))                             ),"0")</f>
        <v>0</v>
      </c>
      <c r="V61" s="12" t="str">
        <f t="array" ref="V61">IFERROR(INDEX($A$4:$A$145,MATCH(0,COUNTIF($V$3:V60,$A$4:$A$145),0)),"0")</f>
        <v>0</v>
      </c>
      <c r="W61" s="13">
        <v>1</v>
      </c>
      <c r="X61" s="13">
        <f t="shared" si="1"/>
        <v>0</v>
      </c>
      <c r="Y61" s="13">
        <f t="shared" si="2"/>
        <v>0</v>
      </c>
      <c r="Z61" s="13"/>
      <c r="AA61" s="13"/>
    </row>
    <row r="62" spans="1:27" x14ac:dyDescent="0.25">
      <c r="A62" s="48"/>
      <c r="B62" s="15"/>
      <c r="C62" s="16"/>
      <c r="D62" s="3" t="str">
        <f t="shared" si="7"/>
        <v/>
      </c>
      <c r="U62" s="12" t="str">
        <f t="array" ref="U62">IFERROR(INDEX($B$4:$B$145,                                    SMALL(IF((LEN($B$4:$B$145)&lt;&gt;0),ROW($B$4:$B$145)-ROW($B$3),"0"),ROW(#REF!)-ROW($B$3))                             ),"0")</f>
        <v>0</v>
      </c>
      <c r="V62" s="12" t="str">
        <f t="array" ref="V62">IFERROR(INDEX($A$4:$A$145,MATCH(0,COUNTIF($V$3:V61,$A$4:$A$145),0)),"0")</f>
        <v>0</v>
      </c>
      <c r="W62" s="13">
        <v>1</v>
      </c>
      <c r="X62" s="13">
        <f t="shared" si="1"/>
        <v>0</v>
      </c>
      <c r="Y62" s="13">
        <f t="shared" si="2"/>
        <v>0</v>
      </c>
      <c r="Z62" s="13"/>
      <c r="AA62" s="13"/>
    </row>
    <row r="63" spans="1:27" x14ac:dyDescent="0.25">
      <c r="A63" s="48"/>
      <c r="B63" s="15"/>
      <c r="C63" s="16"/>
      <c r="D63" s="3" t="str">
        <f t="shared" si="7"/>
        <v/>
      </c>
      <c r="U63" s="12" t="str">
        <f t="array" ref="U63">IFERROR(INDEX($B$4:$B$145,                                    SMALL(IF((LEN($B$4:$B$145)&lt;&gt;0),ROW($B$4:$B$145)-ROW($B$3),"0"),ROW(#REF!)-ROW($B$3))                             ),"0")</f>
        <v>0</v>
      </c>
      <c r="V63" s="12" t="str">
        <f t="array" ref="V63">IFERROR(INDEX($A$4:$A$145,MATCH(0,COUNTIF($V$3:V62,$A$4:$A$145),0)),"0")</f>
        <v>0</v>
      </c>
      <c r="W63" s="13">
        <v>1</v>
      </c>
      <c r="X63" s="13">
        <f t="shared" si="1"/>
        <v>0</v>
      </c>
      <c r="Y63" s="13">
        <f t="shared" si="2"/>
        <v>0</v>
      </c>
      <c r="Z63" s="13"/>
      <c r="AA63" s="13"/>
    </row>
    <row r="64" spans="1:27" x14ac:dyDescent="0.25">
      <c r="A64" s="48"/>
      <c r="B64" s="15"/>
      <c r="C64" s="16"/>
      <c r="D64" s="3" t="str">
        <f t="shared" ref="D64:D95" si="8">IFERROR(IF(AND(LEN(A64)=0,LEN(B64)=0),"",IF(LEN(B64)=0,A64,A64&amp;"-"&amp;B64)),"")</f>
        <v/>
      </c>
      <c r="U64" s="12" t="str">
        <f t="array" ref="U64">IFERROR(INDEX($B$4:$B$145,                                    SMALL(IF((LEN($B$4:$B$145)&lt;&gt;0),ROW($B$4:$B$145)-ROW($B$3),"0"),ROW(#REF!)-ROW($B$3))                             ),"0")</f>
        <v>0</v>
      </c>
      <c r="V64" s="12" t="str">
        <f t="array" ref="V64">IFERROR(INDEX($A$4:$A$145,MATCH(0,COUNTIF($V$3:V63,$A$4:$A$145),0)),"0")</f>
        <v>0</v>
      </c>
      <c r="W64" s="13">
        <v>1</v>
      </c>
      <c r="X64" s="13">
        <f t="shared" si="1"/>
        <v>0</v>
      </c>
      <c r="Y64" s="13">
        <f t="shared" si="2"/>
        <v>0</v>
      </c>
      <c r="Z64" s="13"/>
      <c r="AA64" s="13"/>
    </row>
    <row r="65" spans="1:27" x14ac:dyDescent="0.25">
      <c r="A65" s="48"/>
      <c r="B65" s="15"/>
      <c r="C65" s="16"/>
      <c r="D65" s="3" t="str">
        <f t="shared" si="8"/>
        <v/>
      </c>
      <c r="U65" s="12" t="str">
        <f t="array" ref="U65">IFERROR(INDEX($B$4:$B$145,                                    SMALL(IF((LEN($B$4:$B$145)&lt;&gt;0),ROW($B$4:$B$145)-ROW($B$3),"0"),ROW(#REF!)-ROW($B$3))                             ),"0")</f>
        <v>0</v>
      </c>
      <c r="V65" s="12" t="str">
        <f t="array" ref="V65">IFERROR(INDEX($A$4:$A$145,MATCH(0,COUNTIF($V$3:V64,$A$4:$A$145),0)),"0")</f>
        <v>0</v>
      </c>
      <c r="W65" s="13">
        <v>1</v>
      </c>
      <c r="X65" s="13">
        <f t="shared" ref="X65:X129" si="9">U65*W65</f>
        <v>0</v>
      </c>
      <c r="Y65" s="13">
        <f t="shared" ref="Y65:Y129" si="10">W65*V65</f>
        <v>0</v>
      </c>
      <c r="Z65" s="13"/>
      <c r="AA65" s="13"/>
    </row>
    <row r="66" spans="1:27" x14ac:dyDescent="0.25">
      <c r="A66" s="48"/>
      <c r="B66" s="15"/>
      <c r="C66" s="16"/>
      <c r="D66" s="3" t="str">
        <f t="shared" si="8"/>
        <v/>
      </c>
      <c r="U66" s="12" t="str">
        <f t="array" ref="U66">IFERROR(INDEX($B$4:$B$145,                                    SMALL(IF((LEN($B$4:$B$145)&lt;&gt;0),ROW($B$4:$B$145)-ROW($B$3),"0"),ROW(#REF!)-ROW($B$3))                             ),"0")</f>
        <v>0</v>
      </c>
      <c r="V66" s="12" t="str">
        <f t="array" ref="V66">IFERROR(INDEX($A$4:$A$145,MATCH(0,COUNTIF($V$3:V65,$A$4:$A$145),0)),"0")</f>
        <v>0</v>
      </c>
      <c r="W66" s="13">
        <v>1</v>
      </c>
      <c r="X66" s="13">
        <f t="shared" si="9"/>
        <v>0</v>
      </c>
      <c r="Y66" s="13">
        <f t="shared" si="10"/>
        <v>0</v>
      </c>
      <c r="Z66" s="13"/>
      <c r="AA66" s="13"/>
    </row>
    <row r="67" spans="1:27" x14ac:dyDescent="0.25">
      <c r="A67" s="48"/>
      <c r="B67" s="15"/>
      <c r="C67" s="16"/>
      <c r="D67" s="3" t="str">
        <f t="shared" si="8"/>
        <v/>
      </c>
      <c r="U67" s="12" t="str">
        <f t="array" ref="U67">IFERROR(INDEX($B$4:$B$145,                                    SMALL(IF((LEN($B$4:$B$145)&lt;&gt;0),ROW($B$4:$B$145)-ROW($B$3),"0"),ROW(#REF!)-ROW($B$3))                             ),"0")</f>
        <v>0</v>
      </c>
      <c r="V67" s="12" t="str">
        <f t="array" ref="V67">IFERROR(INDEX($A$4:$A$145,MATCH(0,COUNTIF($V$3:V66,$A$4:$A$145),0)),"0")</f>
        <v>0</v>
      </c>
      <c r="W67" s="13">
        <v>1</v>
      </c>
      <c r="X67" s="13">
        <f t="shared" si="9"/>
        <v>0</v>
      </c>
      <c r="Y67" s="13">
        <f t="shared" si="10"/>
        <v>0</v>
      </c>
      <c r="Z67" s="13"/>
      <c r="AA67" s="13"/>
    </row>
    <row r="68" spans="1:27" x14ac:dyDescent="0.25">
      <c r="A68" s="48"/>
      <c r="B68" s="15"/>
      <c r="C68" s="16"/>
      <c r="D68" s="3" t="str">
        <f t="shared" si="8"/>
        <v/>
      </c>
      <c r="U68" s="12" t="str">
        <f t="array" ref="U68">IFERROR(INDEX($B$4:$B$145,                                    SMALL(IF((LEN($B$4:$B$145)&lt;&gt;0),ROW($B$4:$B$145)-ROW($B$3),"0"),ROW(B28)-ROW($B$3))                             ),"0")</f>
        <v>ECA_CİTİUS_24kW</v>
      </c>
      <c r="V68" s="12" t="str">
        <f t="array" ref="V68">IFERROR(INDEX($A$4:$A$145,MATCH(0,COUNTIF($V$3:V67,$A$4:$A$145),0)),"0")</f>
        <v>0</v>
      </c>
      <c r="W68" s="13">
        <v>1</v>
      </c>
      <c r="X68" s="13" t="e">
        <f t="shared" si="9"/>
        <v>#VALUE!</v>
      </c>
      <c r="Y68" s="13">
        <f t="shared" si="10"/>
        <v>0</v>
      </c>
      <c r="Z68" s="13"/>
      <c r="AA68" s="13"/>
    </row>
    <row r="69" spans="1:27" x14ac:dyDescent="0.25">
      <c r="A69" s="48"/>
      <c r="B69" s="15"/>
      <c r="C69" s="16"/>
      <c r="D69" s="3" t="str">
        <f t="shared" si="8"/>
        <v/>
      </c>
      <c r="U69" s="12" t="str">
        <f t="array" ref="U69">IFERROR(INDEX($B$4:$B$145,                                    SMALL(IF((LEN($B$4:$B$145)&lt;&gt;0),ROW($B$4:$B$145)-ROW($B$3),"0"),ROW(#REF!)-ROW($B$3))                             ),"0")</f>
        <v>0</v>
      </c>
      <c r="V69" s="12" t="str">
        <f t="array" ref="V69">IFERROR(INDEX($A$4:$A$145,MATCH(0,COUNTIF($V$3:V68,$A$4:$A$145),0)),"0")</f>
        <v>0</v>
      </c>
      <c r="W69" s="13">
        <v>1</v>
      </c>
      <c r="X69" s="13">
        <f t="shared" si="9"/>
        <v>0</v>
      </c>
      <c r="Y69" s="13">
        <f t="shared" si="10"/>
        <v>0</v>
      </c>
      <c r="Z69" s="13"/>
      <c r="AA69" s="13"/>
    </row>
    <row r="70" spans="1:27" x14ac:dyDescent="0.25">
      <c r="A70" s="48"/>
      <c r="B70" s="15"/>
      <c r="C70" s="16"/>
      <c r="D70" s="3" t="str">
        <f t="shared" si="8"/>
        <v/>
      </c>
      <c r="U70" s="12" t="str">
        <f t="array" ref="U70">IFERROR(INDEX($B$4:$B$145,                                    SMALL(IF((LEN($B$4:$B$145)&lt;&gt;0),ROW($B$4:$B$145)-ROW($B$3),"0"),ROW(#REF!)-ROW($B$3))                             ),"0")</f>
        <v>0</v>
      </c>
      <c r="V70" s="12" t="str">
        <f t="array" ref="V70">IFERROR(INDEX($A$4:$A$145,MATCH(0,COUNTIF($V$3:V69,$A$4:$A$145),0)),"0")</f>
        <v>0</v>
      </c>
      <c r="W70" s="13">
        <v>1</v>
      </c>
      <c r="X70" s="13">
        <f t="shared" si="9"/>
        <v>0</v>
      </c>
      <c r="Y70" s="13">
        <f t="shared" si="10"/>
        <v>0</v>
      </c>
      <c r="Z70" s="13"/>
      <c r="AA70" s="13"/>
    </row>
    <row r="71" spans="1:27" x14ac:dyDescent="0.25">
      <c r="A71" s="48"/>
      <c r="B71" s="15"/>
      <c r="C71" s="16"/>
      <c r="D71" s="3" t="str">
        <f t="shared" si="8"/>
        <v/>
      </c>
      <c r="U71" s="12" t="str">
        <f t="array" ref="U71">IFERROR(INDEX($B$4:$B$145,                                    SMALL(IF((LEN($B$4:$B$145)&lt;&gt;0),ROW($B$4:$B$145)-ROW($B$3),"0"),ROW(B29)-ROW($B$3))                             ),"0")</f>
        <v>ECA_PROTEUS_PREMİX_24kW</v>
      </c>
      <c r="V71" s="12" t="str">
        <f t="array" ref="V71">IFERROR(INDEX($A$4:$A$145,MATCH(0,COUNTIF($V$3:V70,$A$4:$A$145),0)),"0")</f>
        <v>0</v>
      </c>
      <c r="W71" s="13">
        <v>1</v>
      </c>
      <c r="X71" s="13" t="e">
        <f t="shared" si="9"/>
        <v>#VALUE!</v>
      </c>
      <c r="Y71" s="13">
        <f t="shared" si="10"/>
        <v>0</v>
      </c>
      <c r="Z71" s="13"/>
      <c r="AA71" s="13"/>
    </row>
    <row r="72" spans="1:27" x14ac:dyDescent="0.25">
      <c r="A72" s="48"/>
      <c r="B72" s="15"/>
      <c r="C72" s="16"/>
      <c r="D72" s="3" t="str">
        <f t="shared" si="8"/>
        <v/>
      </c>
      <c r="U72" s="12" t="str">
        <f t="array" ref="U72">IFERROR(INDEX($B$4:$B$145,                                    SMALL(IF((LEN($B$4:$B$145)&lt;&gt;0),ROW($B$4:$B$145)-ROW($B$3),"0"),ROW(#REF!)-ROW($B$3))                             ),"0")</f>
        <v>0</v>
      </c>
      <c r="V72" s="12" t="str">
        <f t="array" ref="V72">IFERROR(INDEX($A$4:$A$145,MATCH(0,COUNTIF($V$3:V71,$A$4:$A$145),0)),"0")</f>
        <v>0</v>
      </c>
      <c r="W72" s="13">
        <v>1</v>
      </c>
      <c r="X72" s="13">
        <f t="shared" si="9"/>
        <v>0</v>
      </c>
      <c r="Y72" s="13">
        <f t="shared" si="10"/>
        <v>0</v>
      </c>
      <c r="Z72" s="13"/>
      <c r="AA72" s="13"/>
    </row>
    <row r="73" spans="1:27" x14ac:dyDescent="0.25">
      <c r="A73" s="48"/>
      <c r="B73" s="15"/>
      <c r="C73" s="16"/>
      <c r="D73" s="3" t="str">
        <f t="shared" si="8"/>
        <v/>
      </c>
      <c r="U73" s="12" t="str">
        <f t="array" ref="U73">IFERROR(INDEX($B$4:$B$145,                                    SMALL(IF((LEN($B$4:$B$145)&lt;&gt;0),ROW($B$4:$B$145)-ROW($B$3),"0"),ROW(#REF!)-ROW($B$3))                             ),"0")</f>
        <v>0</v>
      </c>
      <c r="V73" s="12" t="str">
        <f t="array" ref="V73">IFERROR(INDEX($A$4:$A$145,MATCH(0,COUNTIF($V$3:V72,$A$4:$A$145),0)),"0")</f>
        <v>0</v>
      </c>
      <c r="W73" s="13">
        <v>1</v>
      </c>
      <c r="X73" s="13">
        <f t="shared" si="9"/>
        <v>0</v>
      </c>
      <c r="Y73" s="13">
        <f t="shared" si="10"/>
        <v>0</v>
      </c>
      <c r="Z73" s="13"/>
      <c r="AA73" s="13"/>
    </row>
    <row r="74" spans="1:27" x14ac:dyDescent="0.25">
      <c r="A74" s="48"/>
      <c r="B74" s="15"/>
      <c r="C74" s="16"/>
      <c r="D74" s="3" t="str">
        <f t="shared" si="8"/>
        <v/>
      </c>
      <c r="U74" s="12" t="str">
        <f t="array" ref="U74">IFERROR(INDEX($B$4:$B$145,                                    SMALL(IF((LEN($B$4:$B$145)&lt;&gt;0),ROW($B$4:$B$145)-ROW($B$3),"0"),ROW(#REF!)-ROW($B$3))                             ),"0")</f>
        <v>0</v>
      </c>
      <c r="V74" s="12" t="str">
        <f t="array" ref="V74">IFERROR(INDEX($A$4:$A$145,MATCH(0,COUNTIF($V$3:V73,$A$4:$A$145),0)),"0")</f>
        <v>0</v>
      </c>
      <c r="W74" s="13">
        <v>1</v>
      </c>
      <c r="X74" s="13">
        <f t="shared" si="9"/>
        <v>0</v>
      </c>
      <c r="Y74" s="13">
        <f t="shared" si="10"/>
        <v>0</v>
      </c>
      <c r="Z74" s="13"/>
      <c r="AA74" s="13"/>
    </row>
    <row r="75" spans="1:27" x14ac:dyDescent="0.25">
      <c r="A75" s="48"/>
      <c r="B75" s="15"/>
      <c r="C75" s="16"/>
      <c r="D75" s="3" t="str">
        <f t="shared" si="8"/>
        <v/>
      </c>
      <c r="U75" s="12" t="str">
        <f t="array" ref="U75">IFERROR(INDEX($B$4:$B$145,                                    SMALL(IF((LEN($B$4:$B$145)&lt;&gt;0),ROW($B$4:$B$145)-ROW($B$3),"0"),ROW(B31)-ROW($B$3))                             ),"0")</f>
        <v>AİRFELL_MAESTRO_OPTİMUM_23kW</v>
      </c>
      <c r="V75" s="12" t="str">
        <f t="array" ref="V75">IFERROR(INDEX($A$4:$A$145,MATCH(0,COUNTIF($V$3:V74,$A$4:$A$145),0)),"0")</f>
        <v>0</v>
      </c>
      <c r="W75" s="13">
        <v>1</v>
      </c>
      <c r="X75" s="13" t="e">
        <f t="shared" si="9"/>
        <v>#VALUE!</v>
      </c>
      <c r="Y75" s="13">
        <f t="shared" si="10"/>
        <v>0</v>
      </c>
      <c r="Z75" s="13"/>
      <c r="AA75" s="13"/>
    </row>
    <row r="76" spans="1:27" x14ac:dyDescent="0.25">
      <c r="A76" s="48"/>
      <c r="B76" s="15"/>
      <c r="C76" s="16"/>
      <c r="D76" s="3" t="str">
        <f t="shared" si="8"/>
        <v/>
      </c>
      <c r="U76" s="12" t="str">
        <f t="array" ref="U76">IFERROR(INDEX($B$4:$B$145,                                    SMALL(IF((LEN($B$4:$B$145)&lt;&gt;0),ROW($B$4:$B$145)-ROW($B$3),"0"),ROW(B32)-ROW($B$3))                             ),"0")</f>
        <v>YOK</v>
      </c>
      <c r="V76" s="12" t="str">
        <f t="array" ref="V76">IFERROR(INDEX($A$4:$A$145,MATCH(0,COUNTIF($V$3:V75,$A$4:$A$145),0)),"0")</f>
        <v>0</v>
      </c>
      <c r="W76" s="13">
        <v>1</v>
      </c>
      <c r="X76" s="13" t="e">
        <f t="shared" si="9"/>
        <v>#VALUE!</v>
      </c>
      <c r="Y76" s="13">
        <f t="shared" si="10"/>
        <v>0</v>
      </c>
      <c r="Z76" s="13"/>
      <c r="AA76" s="13"/>
    </row>
    <row r="77" spans="1:27" x14ac:dyDescent="0.25">
      <c r="A77" s="48"/>
      <c r="B77" s="15"/>
      <c r="C77" s="16"/>
      <c r="D77" s="3" t="str">
        <f t="shared" si="8"/>
        <v/>
      </c>
      <c r="U77" s="12" t="str">
        <f t="array" ref="U77">IFERROR(INDEX($B$4:$B$145,                                    SMALL(IF((LEN($B$4:$B$145)&lt;&gt;0),ROW($B$4:$B$145)-ROW($B$3),"0"),ROW(#REF!)-ROW($B$3))                             ),"0")</f>
        <v>0</v>
      </c>
      <c r="V77" s="12" t="str">
        <f t="array" ref="V77">IFERROR(INDEX($A$4:$A$145,MATCH(0,COUNTIF($V$3:V76,$A$4:$A$145),0)),"0")</f>
        <v>0</v>
      </c>
      <c r="W77" s="13">
        <v>1</v>
      </c>
      <c r="X77" s="13">
        <f t="shared" si="9"/>
        <v>0</v>
      </c>
      <c r="Y77" s="13">
        <f t="shared" si="10"/>
        <v>0</v>
      </c>
      <c r="Z77" s="13"/>
      <c r="AA77" s="13"/>
    </row>
    <row r="78" spans="1:27" x14ac:dyDescent="0.25">
      <c r="A78" s="48"/>
      <c r="B78" s="15"/>
      <c r="C78" s="16"/>
      <c r="D78" s="3" t="str">
        <f t="shared" si="8"/>
        <v/>
      </c>
      <c r="U78" s="12" t="str">
        <f t="array" ref="U78">IFERROR(INDEX($B$4:$B$145,                                    SMALL(IF((LEN($B$4:$B$145)&lt;&gt;0),ROW($B$4:$B$145)-ROW($B$3),"0"),ROW(B34)-ROW($B$3))                             ),"0")</f>
        <v>AİRFELL_KABLOSUZ_TERMOSTAT</v>
      </c>
      <c r="V78" s="12" t="str">
        <f t="array" ref="V78">IFERROR(INDEX($A$4:$A$145,MATCH(0,COUNTIF($V$3:V77,$A$4:$A$145),0)),"0")</f>
        <v>0</v>
      </c>
      <c r="W78" s="13">
        <v>1</v>
      </c>
      <c r="X78" s="13" t="e">
        <f t="shared" si="9"/>
        <v>#VALUE!</v>
      </c>
      <c r="Y78" s="13">
        <f t="shared" si="10"/>
        <v>0</v>
      </c>
      <c r="Z78" s="13"/>
      <c r="AA78" s="13"/>
    </row>
    <row r="79" spans="1:27" x14ac:dyDescent="0.25">
      <c r="A79" s="48"/>
      <c r="B79" s="15"/>
      <c r="C79" s="16"/>
      <c r="D79" s="3" t="str">
        <f t="shared" si="8"/>
        <v/>
      </c>
      <c r="U79" s="12" t="str">
        <f t="array" ref="U79">IFERROR(INDEX($B$4:$B$145,                                    SMALL(IF((LEN($B$4:$B$145)&lt;&gt;0),ROW($B$4:$B$145)-ROW($B$3),"0"),ROW(B35)-ROW($B$3))                             ),"0")</f>
        <v>ECA_KABLOSUZ_TERMOSTAT</v>
      </c>
      <c r="V79" s="12" t="str">
        <f t="array" ref="V79">IFERROR(INDEX($A$4:$A$145,MATCH(0,COUNTIF($V$3:V78,$A$4:$A$145),0)),"0")</f>
        <v>0</v>
      </c>
      <c r="W79" s="13">
        <v>1</v>
      </c>
      <c r="X79" s="13" t="e">
        <f t="shared" si="9"/>
        <v>#VALUE!</v>
      </c>
      <c r="Y79" s="13">
        <f t="shared" si="10"/>
        <v>0</v>
      </c>
      <c r="Z79" s="13"/>
      <c r="AA79" s="13"/>
    </row>
    <row r="80" spans="1:27" x14ac:dyDescent="0.25">
      <c r="A80" s="48"/>
      <c r="B80" s="15"/>
      <c r="C80" s="16"/>
      <c r="D80" s="3" t="str">
        <f t="shared" si="8"/>
        <v/>
      </c>
      <c r="U80" s="12" t="str">
        <f t="array" ref="U80">IFERROR(INDEX($B$4:$B$145,                                    SMALL(IF((LEN($B$4:$B$145)&lt;&gt;0),ROW($B$4:$B$145)-ROW($B$3),"0"),ROW(#REF!)-ROW($B$3))                             ),"0")</f>
        <v>0</v>
      </c>
      <c r="V80" s="12" t="str">
        <f t="array" ref="V80">IFERROR(INDEX($A$4:$A$145,MATCH(0,COUNTIF($V$3:V79,$A$4:$A$145),0)),"0")</f>
        <v>0</v>
      </c>
      <c r="W80" s="13">
        <v>1</v>
      </c>
      <c r="X80" s="13">
        <f t="shared" si="9"/>
        <v>0</v>
      </c>
      <c r="Y80" s="13">
        <f t="shared" si="10"/>
        <v>0</v>
      </c>
      <c r="Z80" s="13"/>
      <c r="AA80" s="13"/>
    </row>
    <row r="81" spans="1:27" x14ac:dyDescent="0.25">
      <c r="A81" s="48"/>
      <c r="B81" s="15"/>
      <c r="C81" s="16"/>
      <c r="D81" s="3" t="str">
        <f t="shared" si="8"/>
        <v/>
      </c>
      <c r="U81" s="12" t="str">
        <f t="array" ref="U81">IFERROR(INDEX($B$4:$B$145,                                    SMALL(IF((LEN($B$4:$B$145)&lt;&gt;0),ROW($B$4:$B$145)-ROW($B$3),"0"),ROW(#REF!)-ROW($B$3))                             ),"0")</f>
        <v>0</v>
      </c>
      <c r="V81" s="12" t="str">
        <f t="array" ref="V81">IFERROR(INDEX($A$4:$A$145,MATCH(0,COUNTIF($V$3:V80,$A$4:$A$145),0)),"0")</f>
        <v>0</v>
      </c>
      <c r="W81" s="13">
        <v>1</v>
      </c>
      <c r="X81" s="13">
        <f t="shared" si="9"/>
        <v>0</v>
      </c>
      <c r="Y81" s="13">
        <f t="shared" si="10"/>
        <v>0</v>
      </c>
      <c r="Z81" s="13"/>
      <c r="AA81" s="13"/>
    </row>
    <row r="82" spans="1:27" x14ac:dyDescent="0.25">
      <c r="A82" s="48"/>
      <c r="B82" s="15"/>
      <c r="C82" s="16"/>
      <c r="D82" s="3" t="str">
        <f t="shared" si="8"/>
        <v/>
      </c>
      <c r="U82" s="12" t="str">
        <f t="array" ref="U82">IFERROR(INDEX($B$4:$B$145,                                    SMALL(IF((LEN($B$4:$B$145)&lt;&gt;0),ROW($B$4:$B$145)-ROW($B$3),"0"),ROW(#REF!)-ROW($B$3))                             ),"0")</f>
        <v>0</v>
      </c>
      <c r="V82" s="12" t="str">
        <f t="array" ref="V82">IFERROR(INDEX($A$4:$A$145,MATCH(0,COUNTIF($V$3:V81,$A$4:$A$145),0)),"0")</f>
        <v>0</v>
      </c>
      <c r="W82" s="13">
        <v>1</v>
      </c>
      <c r="X82" s="13">
        <f t="shared" si="9"/>
        <v>0</v>
      </c>
      <c r="Y82" s="13">
        <f t="shared" si="10"/>
        <v>0</v>
      </c>
      <c r="Z82" s="13"/>
      <c r="AA82" s="13"/>
    </row>
    <row r="83" spans="1:27" x14ac:dyDescent="0.25">
      <c r="A83" s="48"/>
      <c r="B83" s="15"/>
      <c r="C83" s="16"/>
      <c r="D83" s="3" t="str">
        <f t="shared" si="8"/>
        <v/>
      </c>
      <c r="U83" s="12" t="str">
        <f t="array" ref="U83">IFERROR(INDEX($B$4:$B$145,                                    SMALL(IF((LEN($B$4:$B$145)&lt;&gt;0),ROW($B$4:$B$145)-ROW($B$3),"0"),ROW(#REF!)-ROW($B$3))                             ),"0")</f>
        <v>0</v>
      </c>
      <c r="V83" s="12" t="str">
        <f t="array" ref="V83">IFERROR(INDEX($A$4:$A$145,MATCH(0,COUNTIF($V$3:V82,$A$4:$A$145),0)),"0")</f>
        <v>0</v>
      </c>
      <c r="W83" s="13">
        <v>1</v>
      </c>
      <c r="X83" s="13">
        <f t="shared" si="9"/>
        <v>0</v>
      </c>
      <c r="Y83" s="13">
        <f t="shared" si="10"/>
        <v>0</v>
      </c>
      <c r="Z83" s="13"/>
      <c r="AA83" s="13"/>
    </row>
    <row r="84" spans="1:27" x14ac:dyDescent="0.25">
      <c r="A84" s="48"/>
      <c r="B84" s="15"/>
      <c r="C84" s="16"/>
      <c r="D84" s="3" t="str">
        <f t="shared" si="8"/>
        <v/>
      </c>
      <c r="U84" s="12" t="str">
        <f t="array" ref="U84">IFERROR(INDEX($B$4:$B$145,                                    SMALL(IF((LEN($B$4:$B$145)&lt;&gt;0),ROW($B$4:$B$145)-ROW($B$3),"0"),ROW(B37)-ROW($B$3))                             ),"0")</f>
        <v>YOK</v>
      </c>
      <c r="V84" s="12" t="str">
        <f t="array" ref="V84">IFERROR(INDEX($A$4:$A$145,MATCH(0,COUNTIF($V$3:V83,$A$4:$A$145),0)),"0")</f>
        <v>0</v>
      </c>
      <c r="W84" s="13">
        <v>1</v>
      </c>
      <c r="X84" s="13" t="e">
        <f t="shared" si="9"/>
        <v>#VALUE!</v>
      </c>
      <c r="Y84" s="13">
        <f t="shared" si="10"/>
        <v>0</v>
      </c>
      <c r="Z84" s="13"/>
      <c r="AA84" s="13"/>
    </row>
    <row r="85" spans="1:27" x14ac:dyDescent="0.25">
      <c r="A85" s="48"/>
      <c r="B85" s="15"/>
      <c r="C85" s="16"/>
      <c r="D85" s="3" t="str">
        <f t="shared" si="8"/>
        <v/>
      </c>
      <c r="U85" s="12" t="str">
        <f t="array" ref="U85">IFERROR(INDEX($B$4:$B$145,                                    SMALL(IF((LEN($B$4:$B$145)&lt;&gt;0),ROW($B$4:$B$145)-ROW($B$3),"0"),ROW(#REF!)-ROW($B$3))                             ),"0")</f>
        <v>0</v>
      </c>
      <c r="V85" s="12" t="str">
        <f t="array" ref="V85">IFERROR(INDEX($A$4:$A$145,MATCH(0,COUNTIF($V$3:V84,$A$4:$A$145),0)),"0")</f>
        <v>0</v>
      </c>
      <c r="W85" s="13">
        <v>1</v>
      </c>
      <c r="X85" s="13">
        <f t="shared" si="9"/>
        <v>0</v>
      </c>
      <c r="Y85" s="13">
        <f t="shared" si="10"/>
        <v>0</v>
      </c>
      <c r="Z85" s="13"/>
      <c r="AA85" s="13"/>
    </row>
    <row r="86" spans="1:27" x14ac:dyDescent="0.25">
      <c r="A86" s="48"/>
      <c r="B86" s="15"/>
      <c r="C86" s="16"/>
      <c r="D86" s="3" t="str">
        <f t="shared" si="8"/>
        <v/>
      </c>
      <c r="U86" s="12" t="str">
        <f t="array" ref="U86">IFERROR(INDEX($B$4:$B$145,                                    SMALL(IF((LEN($B$4:$B$145)&lt;&gt;0),ROW($B$4:$B$145)-ROW($B$3),"0"),ROW(#REF!)-ROW($B$3))                             ),"0")</f>
        <v>0</v>
      </c>
      <c r="V86" s="12" t="str">
        <f t="array" ref="V86">IFERROR(INDEX($A$4:$A$145,MATCH(0,COUNTIF($V$3:V85,$A$4:$A$145),0)),"0")</f>
        <v>0</v>
      </c>
      <c r="W86" s="13">
        <v>1</v>
      </c>
      <c r="X86" s="13">
        <f t="shared" si="9"/>
        <v>0</v>
      </c>
      <c r="Y86" s="13">
        <f t="shared" si="10"/>
        <v>0</v>
      </c>
      <c r="Z86" s="13"/>
      <c r="AA86" s="13"/>
    </row>
    <row r="87" spans="1:27" x14ac:dyDescent="0.25">
      <c r="A87" s="48"/>
      <c r="B87" s="15"/>
      <c r="C87" s="16"/>
      <c r="D87" s="3" t="str">
        <f t="shared" si="8"/>
        <v/>
      </c>
      <c r="U87" s="12" t="str">
        <f t="array" ref="U87">IFERROR(INDEX($B$4:$B$145,                                    SMALL(IF((LEN($B$4:$B$145)&lt;&gt;0),ROW($B$4:$B$145)-ROW($B$3),"0"),ROW(#REF!)-ROW($B$3))                             ),"0")</f>
        <v>0</v>
      </c>
      <c r="V87" s="12" t="str">
        <f t="array" ref="V87">IFERROR(INDEX($A$4:$A$145,MATCH(0,COUNTIF($V$3:V86,$A$4:$A$145),0)),"0")</f>
        <v>0</v>
      </c>
      <c r="W87" s="13">
        <v>1</v>
      </c>
      <c r="X87" s="13">
        <f t="shared" si="9"/>
        <v>0</v>
      </c>
      <c r="Y87" s="13">
        <f t="shared" si="10"/>
        <v>0</v>
      </c>
      <c r="Z87" s="13"/>
      <c r="AA87" s="13"/>
    </row>
    <row r="88" spans="1:27" x14ac:dyDescent="0.25">
      <c r="A88" s="48"/>
      <c r="B88" s="15"/>
      <c r="C88" s="16"/>
      <c r="D88" s="3" t="str">
        <f t="shared" si="8"/>
        <v/>
      </c>
      <c r="U88" s="12" t="str">
        <f t="array" ref="U88">IFERROR(INDEX($B$4:$B$145,                                    SMALL(IF((LEN($B$4:$B$145)&lt;&gt;0),ROW($B$4:$B$145)-ROW($B$3),"0"),ROW(#REF!)-ROW($B$3))                             ),"0")</f>
        <v>0</v>
      </c>
      <c r="V88" s="12" t="str">
        <f t="array" ref="V88">IFERROR(INDEX($A$4:$A$145,MATCH(0,COUNTIF($V$3:V87,$A$4:$A$145),0)),"0")</f>
        <v>0</v>
      </c>
      <c r="W88" s="13">
        <v>1</v>
      </c>
      <c r="X88" s="13">
        <f t="shared" si="9"/>
        <v>0</v>
      </c>
      <c r="Y88" s="13">
        <f t="shared" si="10"/>
        <v>0</v>
      </c>
      <c r="Z88" s="13"/>
      <c r="AA88" s="13"/>
    </row>
    <row r="89" spans="1:27" x14ac:dyDescent="0.25">
      <c r="A89" s="48"/>
      <c r="B89" s="15"/>
      <c r="C89" s="16"/>
      <c r="D89" s="3" t="str">
        <f t="shared" si="8"/>
        <v/>
      </c>
      <c r="U89" s="12" t="str">
        <f t="array" ref="U89">IFERROR(INDEX($B$4:$B$145,                                    SMALL(IF((LEN($B$4:$B$145)&lt;&gt;0),ROW($B$4:$B$145)-ROW($B$3),"0"),ROW(B39)-ROW($B$3))                             ),"0")</f>
        <v>WARMHAUS</v>
      </c>
      <c r="V89" s="12" t="str">
        <f t="array" ref="V89">IFERROR(INDEX($A$4:$A$145,MATCH(0,COUNTIF($V$3:V88,$A$4:$A$145),0)),"0")</f>
        <v>0</v>
      </c>
      <c r="W89" s="13">
        <v>1</v>
      </c>
      <c r="X89" s="13" t="e">
        <f t="shared" si="9"/>
        <v>#VALUE!</v>
      </c>
      <c r="Y89" s="13">
        <f t="shared" si="10"/>
        <v>0</v>
      </c>
      <c r="Z89" s="13"/>
      <c r="AA89" s="13"/>
    </row>
    <row r="90" spans="1:27" x14ac:dyDescent="0.25">
      <c r="A90" s="48"/>
      <c r="B90" s="15"/>
      <c r="C90" s="16"/>
      <c r="D90" s="3" t="str">
        <f t="shared" si="8"/>
        <v/>
      </c>
      <c r="U90" s="12" t="str">
        <f t="array" ref="U90">IFERROR(INDEX($B$4:$B$145,                                    SMALL(IF((LEN($B$4:$B$145)&lt;&gt;0),ROW($B$4:$B$145)-ROW($B$3),"0"),ROW(B40)-ROW($B$3))                             ),"0")</f>
        <v>KALDE</v>
      </c>
      <c r="V90" s="12" t="str">
        <f t="array" ref="V90">IFERROR(INDEX($A$4:$A$145,MATCH(0,COUNTIF($V$3:V89,$A$4:$A$145),0)),"0")</f>
        <v>0</v>
      </c>
      <c r="W90" s="13">
        <v>1</v>
      </c>
      <c r="X90" s="13" t="e">
        <f t="shared" si="9"/>
        <v>#VALUE!</v>
      </c>
      <c r="Y90" s="13">
        <f t="shared" si="10"/>
        <v>0</v>
      </c>
      <c r="Z90" s="13"/>
      <c r="AA90" s="13"/>
    </row>
    <row r="91" spans="1:27" x14ac:dyDescent="0.25">
      <c r="A91" s="48"/>
      <c r="B91" s="15"/>
      <c r="C91" s="16"/>
      <c r="D91" s="3" t="str">
        <f t="shared" si="8"/>
        <v/>
      </c>
      <c r="U91" s="12" t="str">
        <f t="array" ref="U91">IFERROR(INDEX($B$4:$B$145,                                    SMALL(IF((LEN($B$4:$B$145)&lt;&gt;0),ROW($B$4:$B$145)-ROW($B$3),"0"),ROW(#REF!)-ROW($B$3))                             ),"0")</f>
        <v>0</v>
      </c>
      <c r="V91" s="12" t="str">
        <f t="array" ref="V91">IFERROR(INDEX($A$4:$A$145,MATCH(0,COUNTIF($V$3:V90,$A$4:$A$145),0)),"0")</f>
        <v>0</v>
      </c>
      <c r="W91" s="13">
        <v>1</v>
      </c>
      <c r="X91" s="13">
        <f t="shared" si="9"/>
        <v>0</v>
      </c>
      <c r="Y91" s="13">
        <f t="shared" si="10"/>
        <v>0</v>
      </c>
      <c r="Z91" s="13"/>
      <c r="AA91" s="13"/>
    </row>
    <row r="92" spans="1:27" x14ac:dyDescent="0.25">
      <c r="A92" s="48"/>
      <c r="B92" s="15"/>
      <c r="C92" s="16"/>
      <c r="D92" s="3" t="str">
        <f t="shared" si="8"/>
        <v/>
      </c>
      <c r="U92" s="12" t="str">
        <f t="array" ref="U92">IFERROR(INDEX($B$4:$B$145,                                    SMALL(IF((LEN($B$4:$B$145)&lt;&gt;0),ROW($B$4:$B$145)-ROW($B$3),"0"),ROW(#REF!)-ROW($B$3))                             ),"0")</f>
        <v>0</v>
      </c>
      <c r="V92" s="12" t="str">
        <f t="array" ref="V92">IFERROR(INDEX($A$4:$A$145,MATCH(0,COUNTIF($V$3:V91,$A$4:$A$145),0)),"0")</f>
        <v>0</v>
      </c>
      <c r="W92" s="13">
        <v>1</v>
      </c>
      <c r="X92" s="13">
        <f t="shared" si="9"/>
        <v>0</v>
      </c>
      <c r="Y92" s="13">
        <f t="shared" si="10"/>
        <v>0</v>
      </c>
      <c r="Z92" s="13"/>
      <c r="AA92" s="13"/>
    </row>
    <row r="93" spans="1:27" x14ac:dyDescent="0.25">
      <c r="A93" s="48"/>
      <c r="B93" s="15"/>
      <c r="C93" s="16"/>
      <c r="D93" s="3" t="str">
        <f t="shared" si="8"/>
        <v/>
      </c>
      <c r="U93" s="12" t="str">
        <f t="array" ref="U93">IFERROR(INDEX($B$4:$B$145,                                    SMALL(IF((LEN($B$4:$B$145)&lt;&gt;0),ROW($B$4:$B$145)-ROW($B$3),"0"),ROW(B41)-ROW($B$3))                             ),"0")</f>
        <v>ECA</v>
      </c>
      <c r="V93" s="12" t="str">
        <f t="array" ref="V93">IFERROR(INDEX($A$4:$A$145,MATCH(0,COUNTIF($V$3:V92,$A$4:$A$145),0)),"0")</f>
        <v>0</v>
      </c>
      <c r="W93" s="13">
        <v>1</v>
      </c>
      <c r="X93" s="13" t="e">
        <f t="shared" si="9"/>
        <v>#VALUE!</v>
      </c>
      <c r="Y93" s="13">
        <f t="shared" si="10"/>
        <v>0</v>
      </c>
      <c r="Z93" s="13"/>
      <c r="AA93" s="13"/>
    </row>
    <row r="94" spans="1:27" x14ac:dyDescent="0.25">
      <c r="A94" s="48"/>
      <c r="B94" s="15"/>
      <c r="C94" s="16"/>
      <c r="D94" s="3" t="str">
        <f t="shared" si="8"/>
        <v/>
      </c>
      <c r="U94" s="12"/>
      <c r="V94" s="12"/>
      <c r="W94" s="13"/>
      <c r="X94" s="13"/>
      <c r="Y94" s="13"/>
      <c r="Z94" s="13"/>
      <c r="AA94" s="13"/>
    </row>
    <row r="95" spans="1:27" x14ac:dyDescent="0.25">
      <c r="A95" s="48"/>
      <c r="B95" s="15"/>
      <c r="C95" s="16"/>
      <c r="D95" s="3" t="str">
        <f t="shared" si="8"/>
        <v/>
      </c>
      <c r="U95" s="12" t="str">
        <f t="array" ref="U95">IFERROR(INDEX($B$4:$B$145,                                    SMALL(IF((LEN($B$4:$B$145)&lt;&gt;0),ROW($B$4:$B$145)-ROW($B$3),"0"),ROW(B42)-ROW($B$3))                             ),"0")</f>
        <v>VAR</v>
      </c>
      <c r="V95" s="12" t="str">
        <f t="array" ref="V95">IFERROR(INDEX($A$4:$A$145,MATCH(0,COUNTIF($V$3:V93,$A$4:$A$145),0)),"0")</f>
        <v>0</v>
      </c>
      <c r="W95" s="13">
        <v>1</v>
      </c>
      <c r="X95" s="13" t="e">
        <f t="shared" si="9"/>
        <v>#VALUE!</v>
      </c>
      <c r="Y95" s="13">
        <f t="shared" si="10"/>
        <v>0</v>
      </c>
      <c r="Z95" s="13"/>
      <c r="AA95" s="13"/>
    </row>
    <row r="96" spans="1:27" x14ac:dyDescent="0.25">
      <c r="A96" s="48"/>
      <c r="B96" s="15"/>
      <c r="C96" s="16"/>
      <c r="D96" s="3" t="str">
        <f t="shared" ref="D96:D127" si="11">IFERROR(IF(AND(LEN(A96)=0,LEN(B96)=0),"",IF(LEN(B96)=0,A96,A96&amp;"-"&amp;B96)),"")</f>
        <v/>
      </c>
      <c r="U96" s="12" t="str">
        <f t="array" ref="U96">IFERROR(INDEX($B$4:$B$145,                                    SMALL(IF((LEN($B$4:$B$145)&lt;&gt;0),ROW($B$4:$B$145)-ROW($B$3),"0"),ROW(B43)-ROW($B$3))                             ),"0")</f>
        <v>YOK</v>
      </c>
      <c r="V96" s="12" t="str">
        <f t="array" ref="V96">IFERROR(INDEX($A$4:$A$145,MATCH(0,COUNTIF($V$3:V95,$A$4:$A$145),0)),"0")</f>
        <v>0</v>
      </c>
      <c r="W96" s="13">
        <v>1</v>
      </c>
      <c r="X96" s="13" t="e">
        <f t="shared" si="9"/>
        <v>#VALUE!</v>
      </c>
      <c r="Y96" s="13">
        <f t="shared" si="10"/>
        <v>0</v>
      </c>
      <c r="Z96" s="13"/>
      <c r="AA96" s="13"/>
    </row>
    <row r="97" spans="1:27" x14ac:dyDescent="0.25">
      <c r="A97" s="48"/>
      <c r="B97" s="15"/>
      <c r="C97" s="16"/>
      <c r="D97" s="3" t="str">
        <f t="shared" si="11"/>
        <v/>
      </c>
      <c r="U97" s="12" t="str">
        <f t="array" ref="U97">IFERROR(INDEX($B$4:$B$145,                                    SMALL(IF((LEN($B$4:$B$145)&lt;&gt;0),ROW($B$4:$B$145)-ROW($B$3),"0"),ROW(B44)-ROW($B$3))                             ),"0")</f>
        <v>0</v>
      </c>
      <c r="V97" s="12" t="str">
        <f t="array" ref="V97">IFERROR(INDEX($A$4:$A$145,MATCH(0,COUNTIF($V$3:V96,$A$4:$A$145),0)),"0")</f>
        <v>0</v>
      </c>
      <c r="W97" s="13">
        <v>1</v>
      </c>
      <c r="X97" s="13">
        <f t="shared" si="9"/>
        <v>0</v>
      </c>
      <c r="Y97" s="13">
        <f t="shared" si="10"/>
        <v>0</v>
      </c>
      <c r="Z97" s="13"/>
      <c r="AA97" s="13"/>
    </row>
    <row r="98" spans="1:27" x14ac:dyDescent="0.25">
      <c r="A98" s="48"/>
      <c r="B98" s="15"/>
      <c r="C98" s="16"/>
      <c r="D98" s="3" t="str">
        <f t="shared" si="11"/>
        <v/>
      </c>
      <c r="U98" s="12" t="str">
        <f t="array" ref="U98">IFERROR(INDEX($B$4:$B$145,                                    SMALL(IF((LEN($B$4:$B$145)&lt;&gt;0),ROW($B$4:$B$145)-ROW($B$3),"0"),ROW(B45)-ROW($B$3))                             ),"0")</f>
        <v>0</v>
      </c>
      <c r="V98" s="12" t="str">
        <f t="array" ref="V98">IFERROR(INDEX($A$4:$A$145,MATCH(0,COUNTIF($V$3:V97,$A$4:$A$145),0)),"0")</f>
        <v>0</v>
      </c>
      <c r="W98" s="13">
        <v>1</v>
      </c>
      <c r="X98" s="13">
        <f t="shared" si="9"/>
        <v>0</v>
      </c>
      <c r="Y98" s="13">
        <f t="shared" si="10"/>
        <v>0</v>
      </c>
      <c r="Z98" s="13"/>
      <c r="AA98" s="13"/>
    </row>
    <row r="99" spans="1:27" x14ac:dyDescent="0.25">
      <c r="A99" s="48"/>
      <c r="B99" s="15"/>
      <c r="C99" s="16"/>
      <c r="D99" s="3" t="str">
        <f t="shared" si="11"/>
        <v/>
      </c>
      <c r="U99" s="12" t="str">
        <f t="array" ref="U99">IFERROR(INDEX($B$4:$B$145,                                    SMALL(IF((LEN($B$4:$B$145)&lt;&gt;0),ROW($B$4:$B$145)-ROW($B$3),"0"),ROW(B46)-ROW($B$3))                             ),"0")</f>
        <v>0</v>
      </c>
      <c r="V99" s="12" t="str">
        <f t="array" ref="V99">IFERROR(INDEX($A$4:$A$145,MATCH(0,COUNTIF($V$3:V98,$A$4:$A$145),0)),"0")</f>
        <v>0</v>
      </c>
      <c r="W99" s="13">
        <v>1</v>
      </c>
      <c r="X99" s="13">
        <f t="shared" si="9"/>
        <v>0</v>
      </c>
      <c r="Y99" s="13">
        <f t="shared" si="10"/>
        <v>0</v>
      </c>
      <c r="Z99" s="13"/>
      <c r="AA99" s="13"/>
    </row>
    <row r="100" spans="1:27" x14ac:dyDescent="0.25">
      <c r="A100" s="48"/>
      <c r="B100" s="15"/>
      <c r="C100" s="16"/>
      <c r="D100" s="3" t="str">
        <f t="shared" si="11"/>
        <v/>
      </c>
      <c r="U100" s="12" t="str">
        <f t="array" ref="U100">IFERROR(INDEX($B$4:$B$145,                                    SMALL(IF((LEN($B$4:$B$145)&lt;&gt;0),ROW($B$4:$B$145)-ROW($B$3),"0"),ROW(B47)-ROW($B$3))                             ),"0")</f>
        <v>0</v>
      </c>
      <c r="V100" s="12" t="str">
        <f t="array" ref="V100">IFERROR(INDEX($A$4:$A$145,MATCH(0,COUNTIF($V$3:V99,$A$4:$A$145),0)),"0")</f>
        <v>0</v>
      </c>
      <c r="W100" s="13">
        <v>1</v>
      </c>
      <c r="X100" s="13">
        <f t="shared" si="9"/>
        <v>0</v>
      </c>
      <c r="Y100" s="13">
        <f t="shared" si="10"/>
        <v>0</v>
      </c>
      <c r="Z100" s="13"/>
      <c r="AA100" s="13"/>
    </row>
    <row r="101" spans="1:27" x14ac:dyDescent="0.25">
      <c r="A101" s="48"/>
      <c r="B101" s="15"/>
      <c r="C101" s="16"/>
      <c r="D101" s="3" t="str">
        <f t="shared" si="11"/>
        <v/>
      </c>
      <c r="U101" s="12" t="str">
        <f t="array" ref="U101">IFERROR(INDEX($B$4:$B$145,                                    SMALL(IF((LEN($B$4:$B$145)&lt;&gt;0),ROW($B$4:$B$145)-ROW($B$3),"0"),ROW(B48)-ROW($B$3))                             ),"0")</f>
        <v>0</v>
      </c>
      <c r="V101" s="12" t="str">
        <f t="array" ref="V101">IFERROR(INDEX($A$4:$A$145,MATCH(0,COUNTIF($V$3:V100,$A$4:$A$145),0)),"0")</f>
        <v>0</v>
      </c>
      <c r="W101" s="13">
        <v>1</v>
      </c>
      <c r="X101" s="13">
        <f t="shared" si="9"/>
        <v>0</v>
      </c>
      <c r="Y101" s="13">
        <f t="shared" si="10"/>
        <v>0</v>
      </c>
      <c r="Z101" s="13"/>
      <c r="AA101" s="13"/>
    </row>
    <row r="102" spans="1:27" x14ac:dyDescent="0.25">
      <c r="A102" s="48"/>
      <c r="B102" s="15"/>
      <c r="C102" s="16"/>
      <c r="D102" s="3" t="str">
        <f t="shared" si="11"/>
        <v/>
      </c>
      <c r="U102" s="12" t="str">
        <f t="array" ref="U102">IFERROR(INDEX($B$4:$B$145,                                    SMALL(IF((LEN($B$4:$B$145)&lt;&gt;0),ROW($B$4:$B$145)-ROW($B$3),"0"),ROW(B49)-ROW($B$3))                             ),"0")</f>
        <v>0</v>
      </c>
      <c r="V102" s="12" t="str">
        <f t="array" ref="V102">IFERROR(INDEX($A$4:$A$145,MATCH(0,COUNTIF($V$3:V101,$A$4:$A$145),0)),"0")</f>
        <v>0</v>
      </c>
      <c r="W102" s="13">
        <v>1</v>
      </c>
      <c r="X102" s="13">
        <f t="shared" si="9"/>
        <v>0</v>
      </c>
      <c r="Y102" s="13">
        <f t="shared" si="10"/>
        <v>0</v>
      </c>
      <c r="Z102" s="13"/>
      <c r="AA102" s="13"/>
    </row>
    <row r="103" spans="1:27" x14ac:dyDescent="0.25">
      <c r="A103" s="48"/>
      <c r="B103" s="15"/>
      <c r="C103" s="16"/>
      <c r="D103" s="3" t="str">
        <f t="shared" si="11"/>
        <v/>
      </c>
      <c r="U103" s="12" t="str">
        <f t="array" ref="U103">IFERROR(INDEX($B$4:$B$145,                                    SMALL(IF((LEN($B$4:$B$145)&lt;&gt;0),ROW($B$4:$B$145)-ROW($B$3),"0"),ROW(B50)-ROW($B$3))                             ),"0")</f>
        <v>0</v>
      </c>
      <c r="V103" s="12" t="str">
        <f t="array" ref="V103">IFERROR(INDEX($A$4:$A$145,MATCH(0,COUNTIF($V$3:V102,$A$4:$A$145),0)),"0")</f>
        <v>0</v>
      </c>
      <c r="W103" s="13">
        <v>1</v>
      </c>
      <c r="X103" s="13">
        <f t="shared" si="9"/>
        <v>0</v>
      </c>
      <c r="Y103" s="13">
        <f t="shared" si="10"/>
        <v>0</v>
      </c>
      <c r="Z103" s="13"/>
      <c r="AA103" s="13"/>
    </row>
    <row r="104" spans="1:27" x14ac:dyDescent="0.25">
      <c r="A104" s="48"/>
      <c r="B104" s="15"/>
      <c r="C104" s="16"/>
      <c r="D104" s="3" t="str">
        <f t="shared" si="11"/>
        <v/>
      </c>
      <c r="U104" s="12" t="str">
        <f t="array" ref="U104">IFERROR(INDEX($B$4:$B$145,                                    SMALL(IF((LEN($B$4:$B$145)&lt;&gt;0),ROW($B$4:$B$145)-ROW($B$3),"0"),ROW(B51)-ROW($B$3))                             ),"0")</f>
        <v>0</v>
      </c>
      <c r="V104" s="12" t="str">
        <f t="array" ref="V104">IFERROR(INDEX($A$4:$A$145,MATCH(0,COUNTIF($V$3:V103,$A$4:$A$145),0)),"0")</f>
        <v>0</v>
      </c>
      <c r="W104" s="13">
        <v>1</v>
      </c>
      <c r="X104" s="13">
        <f t="shared" si="9"/>
        <v>0</v>
      </c>
      <c r="Y104" s="13">
        <f t="shared" si="10"/>
        <v>0</v>
      </c>
      <c r="Z104" s="13"/>
      <c r="AA104" s="13"/>
    </row>
    <row r="105" spans="1:27" x14ac:dyDescent="0.25">
      <c r="A105" s="48"/>
      <c r="B105" s="15"/>
      <c r="C105" s="16"/>
      <c r="D105" s="3" t="str">
        <f t="shared" si="11"/>
        <v/>
      </c>
      <c r="U105" s="12" t="str">
        <f t="array" ref="U105">IFERROR(INDEX($B$4:$B$145,                                    SMALL(IF((LEN($B$4:$B$145)&lt;&gt;0),ROW($B$4:$B$145)-ROW($B$3),"0"),ROW(B52)-ROW($B$3))                             ),"0")</f>
        <v>0</v>
      </c>
      <c r="V105" s="12" t="str">
        <f t="array" ref="V105">IFERROR(INDEX($A$4:$A$145,MATCH(0,COUNTIF($V$3:V104,$A$4:$A$145),0)),"0")</f>
        <v>0</v>
      </c>
      <c r="W105" s="13">
        <v>1</v>
      </c>
      <c r="X105" s="13">
        <f t="shared" si="9"/>
        <v>0</v>
      </c>
      <c r="Y105" s="13">
        <f t="shared" si="10"/>
        <v>0</v>
      </c>
      <c r="Z105" s="13"/>
      <c r="AA105" s="13"/>
    </row>
    <row r="106" spans="1:27" x14ac:dyDescent="0.25">
      <c r="A106" s="48"/>
      <c r="B106" s="15"/>
      <c r="C106" s="16"/>
      <c r="D106" s="3" t="str">
        <f t="shared" si="11"/>
        <v/>
      </c>
      <c r="U106" s="12" t="str">
        <f t="array" ref="U106">IFERROR(INDEX($B$4:$B$145,                                    SMALL(IF((LEN($B$4:$B$145)&lt;&gt;0),ROW($B$4:$B$145)-ROW($B$3),"0"),ROW(B53)-ROW($B$3))                             ),"0")</f>
        <v>0</v>
      </c>
      <c r="V106" s="12" t="str">
        <f t="array" ref="V106">IFERROR(INDEX($A$4:$A$145,MATCH(0,COUNTIF($V$3:V105,$A$4:$A$145),0)),"0")</f>
        <v>0</v>
      </c>
      <c r="W106" s="13">
        <v>1</v>
      </c>
      <c r="X106" s="13">
        <f t="shared" si="9"/>
        <v>0</v>
      </c>
      <c r="Y106" s="13">
        <f t="shared" si="10"/>
        <v>0</v>
      </c>
      <c r="Z106" s="13"/>
      <c r="AA106" s="13"/>
    </row>
    <row r="107" spans="1:27" x14ac:dyDescent="0.25">
      <c r="A107" s="48"/>
      <c r="B107" s="15"/>
      <c r="C107" s="16"/>
      <c r="D107" s="3" t="str">
        <f t="shared" si="11"/>
        <v/>
      </c>
      <c r="U107" s="12" t="str">
        <f t="array" ref="U107">IFERROR(INDEX($B$4:$B$145,                                    SMALL(IF((LEN($B$4:$B$145)&lt;&gt;0),ROW($B$4:$B$145)-ROW($B$3),"0"),ROW(B54)-ROW($B$3))                             ),"0")</f>
        <v>0</v>
      </c>
      <c r="V107" s="12" t="str">
        <f t="array" ref="V107">IFERROR(INDEX($A$4:$A$145,MATCH(0,COUNTIF($V$3:V106,$A$4:$A$145),0)),"0")</f>
        <v>0</v>
      </c>
      <c r="W107" s="13">
        <v>1</v>
      </c>
      <c r="X107" s="13">
        <f t="shared" si="9"/>
        <v>0</v>
      </c>
      <c r="Y107" s="13">
        <f t="shared" si="10"/>
        <v>0</v>
      </c>
      <c r="Z107" s="13"/>
      <c r="AA107" s="13"/>
    </row>
    <row r="108" spans="1:27" x14ac:dyDescent="0.25">
      <c r="A108" s="48"/>
      <c r="B108" s="15"/>
      <c r="C108" s="16"/>
      <c r="D108" s="3" t="str">
        <f t="shared" si="11"/>
        <v/>
      </c>
      <c r="U108" s="12" t="str">
        <f t="array" ref="U108">IFERROR(INDEX($B$4:$B$145,                                    SMALL(IF((LEN($B$4:$B$145)&lt;&gt;0),ROW($B$4:$B$145)-ROW($B$3),"0"),ROW(B55)-ROW($B$3))                             ),"0")</f>
        <v>0</v>
      </c>
      <c r="V108" s="12" t="str">
        <f t="array" ref="V108">IFERROR(INDEX($A$4:$A$145,MATCH(0,COUNTIF($V$3:V107,$A$4:$A$145),0)),"0")</f>
        <v>0</v>
      </c>
      <c r="W108" s="13">
        <v>1</v>
      </c>
      <c r="X108" s="13">
        <f t="shared" si="9"/>
        <v>0</v>
      </c>
      <c r="Y108" s="13">
        <f t="shared" si="10"/>
        <v>0</v>
      </c>
      <c r="Z108" s="13"/>
      <c r="AA108" s="13"/>
    </row>
    <row r="109" spans="1:27" x14ac:dyDescent="0.25">
      <c r="A109" s="48"/>
      <c r="B109" s="15"/>
      <c r="C109" s="16"/>
      <c r="D109" s="3" t="str">
        <f t="shared" si="11"/>
        <v/>
      </c>
      <c r="U109" s="12" t="str">
        <f t="array" ref="U109">IFERROR(INDEX($B$4:$B$145,                                    SMALL(IF((LEN($B$4:$B$145)&lt;&gt;0),ROW($B$4:$B$145)-ROW($B$3),"0"),ROW(B56)-ROW($B$3))                             ),"0")</f>
        <v>0</v>
      </c>
      <c r="V109" s="12" t="str">
        <f t="array" ref="V109">IFERROR(INDEX($A$4:$A$145,MATCH(0,COUNTIF($V$3:V108,$A$4:$A$145),0)),"0")</f>
        <v>0</v>
      </c>
      <c r="W109" s="13">
        <v>1</v>
      </c>
      <c r="X109" s="13">
        <f t="shared" si="9"/>
        <v>0</v>
      </c>
      <c r="Y109" s="13">
        <f t="shared" si="10"/>
        <v>0</v>
      </c>
      <c r="Z109" s="13"/>
      <c r="AA109" s="13"/>
    </row>
    <row r="110" spans="1:27" x14ac:dyDescent="0.25">
      <c r="A110" s="48"/>
      <c r="B110" s="15"/>
      <c r="C110" s="16"/>
      <c r="D110" s="3" t="str">
        <f t="shared" si="11"/>
        <v/>
      </c>
      <c r="U110" s="12" t="str">
        <f t="array" ref="U110">IFERROR(INDEX($B$4:$B$145,                                    SMALL(IF((LEN($B$4:$B$145)&lt;&gt;0),ROW($B$4:$B$145)-ROW($B$3),"0"),ROW(B57)-ROW($B$3))                             ),"0")</f>
        <v>0</v>
      </c>
      <c r="V110" s="12" t="str">
        <f t="array" ref="V110">IFERROR(INDEX($A$4:$A$145,MATCH(0,COUNTIF($V$3:V109,$A$4:$A$145),0)),"0")</f>
        <v>0</v>
      </c>
      <c r="W110" s="13">
        <v>1</v>
      </c>
      <c r="X110" s="13">
        <f t="shared" si="9"/>
        <v>0</v>
      </c>
      <c r="Y110" s="13">
        <f t="shared" si="10"/>
        <v>0</v>
      </c>
      <c r="Z110" s="13"/>
      <c r="AA110" s="13"/>
    </row>
    <row r="111" spans="1:27" x14ac:dyDescent="0.25">
      <c r="A111" s="48"/>
      <c r="B111" s="15"/>
      <c r="C111" s="16"/>
      <c r="D111" s="3" t="str">
        <f t="shared" si="11"/>
        <v/>
      </c>
      <c r="U111" s="12" t="str">
        <f t="array" ref="U111">IFERROR(INDEX($B$4:$B$145,                                    SMALL(IF((LEN($B$4:$B$145)&lt;&gt;0),ROW($B$4:$B$145)-ROW($B$3),"0"),ROW(B58)-ROW($B$3))                             ),"0")</f>
        <v>0</v>
      </c>
      <c r="V111" s="12" t="str">
        <f t="array" ref="V111">IFERROR(INDEX($A$4:$A$145,MATCH(0,COUNTIF($V$3:V110,$A$4:$A$145),0)),"0")</f>
        <v>0</v>
      </c>
      <c r="W111" s="13">
        <v>1</v>
      </c>
      <c r="X111" s="13">
        <f t="shared" si="9"/>
        <v>0</v>
      </c>
      <c r="Y111" s="13">
        <f t="shared" si="10"/>
        <v>0</v>
      </c>
      <c r="Z111" s="13"/>
      <c r="AA111" s="13"/>
    </row>
    <row r="112" spans="1:27" x14ac:dyDescent="0.25">
      <c r="A112" s="48"/>
      <c r="B112" s="15"/>
      <c r="C112" s="16"/>
      <c r="D112" s="3" t="str">
        <f t="shared" si="11"/>
        <v/>
      </c>
      <c r="U112" s="12" t="str">
        <f t="array" ref="U112">IFERROR(INDEX($B$4:$B$145,                                    SMALL(IF((LEN($B$4:$B$145)&lt;&gt;0),ROW($B$4:$B$145)-ROW($B$3),"0"),ROW(B59)-ROW($B$3))                             ),"0")</f>
        <v>0</v>
      </c>
      <c r="V112" s="12" t="str">
        <f t="array" ref="V112">IFERROR(INDEX($A$4:$A$145,MATCH(0,COUNTIF($V$3:V111,$A$4:$A$145),0)),"0")</f>
        <v>0</v>
      </c>
      <c r="W112" s="13">
        <v>1</v>
      </c>
      <c r="X112" s="13">
        <f t="shared" si="9"/>
        <v>0</v>
      </c>
      <c r="Y112" s="13">
        <f t="shared" si="10"/>
        <v>0</v>
      </c>
      <c r="Z112" s="13"/>
      <c r="AA112" s="13"/>
    </row>
    <row r="113" spans="1:27" x14ac:dyDescent="0.25">
      <c r="A113" s="48"/>
      <c r="B113" s="15"/>
      <c r="C113" s="16"/>
      <c r="D113" s="3" t="str">
        <f t="shared" si="11"/>
        <v/>
      </c>
      <c r="U113" s="12" t="str">
        <f t="array" ref="U113">IFERROR(INDEX($B$4:$B$145,                                    SMALL(IF((LEN($B$4:$B$145)&lt;&gt;0),ROW($B$4:$B$145)-ROW($B$3),"0"),ROW(B60)-ROW($B$3))                             ),"0")</f>
        <v>0</v>
      </c>
      <c r="V113" s="12" t="str">
        <f t="array" ref="V113">IFERROR(INDEX($A$4:$A$145,MATCH(0,COUNTIF($V$3:V112,$A$4:$A$145),0)),"0")</f>
        <v>0</v>
      </c>
      <c r="W113" s="13">
        <v>1</v>
      </c>
      <c r="X113" s="13">
        <f t="shared" si="9"/>
        <v>0</v>
      </c>
      <c r="Y113" s="13">
        <f t="shared" si="10"/>
        <v>0</v>
      </c>
      <c r="Z113" s="13"/>
      <c r="AA113" s="13"/>
    </row>
    <row r="114" spans="1:27" x14ac:dyDescent="0.25">
      <c r="A114" s="48"/>
      <c r="B114" s="15"/>
      <c r="C114" s="16"/>
      <c r="D114" s="3" t="str">
        <f t="shared" si="11"/>
        <v/>
      </c>
      <c r="U114" s="12" t="str">
        <f t="array" ref="U114">IFERROR(INDEX($B$4:$B$145,                                    SMALL(IF((LEN($B$4:$B$145)&lt;&gt;0),ROW($B$4:$B$145)-ROW($B$3),"0"),ROW(B61)-ROW($B$3))                             ),"0")</f>
        <v>0</v>
      </c>
      <c r="V114" s="12" t="str">
        <f t="array" ref="V114">IFERROR(INDEX($A$4:$A$145,MATCH(0,COUNTIF($V$3:V113,$A$4:$A$145),0)),"0")</f>
        <v>0</v>
      </c>
      <c r="W114" s="13">
        <v>1</v>
      </c>
      <c r="X114" s="13">
        <f t="shared" si="9"/>
        <v>0</v>
      </c>
      <c r="Y114" s="13">
        <f t="shared" si="10"/>
        <v>0</v>
      </c>
      <c r="Z114" s="13"/>
      <c r="AA114" s="13"/>
    </row>
    <row r="115" spans="1:27" x14ac:dyDescent="0.25">
      <c r="A115" s="48"/>
      <c r="B115" s="15"/>
      <c r="C115" s="16"/>
      <c r="D115" s="3" t="str">
        <f t="shared" si="11"/>
        <v/>
      </c>
      <c r="U115" s="12" t="str">
        <f t="array" ref="U115">IFERROR(INDEX($B$4:$B$145,                                    SMALL(IF((LEN($B$4:$B$145)&lt;&gt;0),ROW($B$4:$B$145)-ROW($B$3),"0"),ROW(B62)-ROW($B$3))                             ),"0")</f>
        <v>0</v>
      </c>
      <c r="V115" s="12" t="str">
        <f t="array" ref="V115">IFERROR(INDEX($A$4:$A$145,MATCH(0,COUNTIF($V$3:V114,$A$4:$A$145),0)),"0")</f>
        <v>0</v>
      </c>
      <c r="W115" s="13">
        <v>1</v>
      </c>
      <c r="X115" s="13">
        <f t="shared" si="9"/>
        <v>0</v>
      </c>
      <c r="Y115" s="13">
        <f t="shared" si="10"/>
        <v>0</v>
      </c>
      <c r="Z115" s="13"/>
      <c r="AA115" s="13"/>
    </row>
    <row r="116" spans="1:27" x14ac:dyDescent="0.25">
      <c r="A116" s="48"/>
      <c r="B116" s="15"/>
      <c r="C116" s="16"/>
      <c r="D116" s="3" t="str">
        <f t="shared" si="11"/>
        <v/>
      </c>
      <c r="U116" s="12" t="str">
        <f t="array" ref="U116">IFERROR(INDEX($B$4:$B$145,                                    SMALL(IF((LEN($B$4:$B$145)&lt;&gt;0),ROW($B$4:$B$145)-ROW($B$3),"0"),ROW(B63)-ROW($B$3))                             ),"0")</f>
        <v>0</v>
      </c>
      <c r="V116" s="12" t="str">
        <f t="array" ref="V116">IFERROR(INDEX($A$4:$A$145,MATCH(0,COUNTIF($V$3:V115,$A$4:$A$145),0)),"0")</f>
        <v>0</v>
      </c>
      <c r="W116" s="13">
        <v>1</v>
      </c>
      <c r="X116" s="13">
        <f t="shared" si="9"/>
        <v>0</v>
      </c>
      <c r="Y116" s="13">
        <f t="shared" si="10"/>
        <v>0</v>
      </c>
      <c r="Z116" s="13"/>
      <c r="AA116" s="13"/>
    </row>
    <row r="117" spans="1:27" x14ac:dyDescent="0.25">
      <c r="A117" s="48"/>
      <c r="B117" s="15"/>
      <c r="C117" s="16"/>
      <c r="D117" s="3" t="str">
        <f t="shared" si="11"/>
        <v/>
      </c>
      <c r="U117" s="12" t="str">
        <f t="array" ref="U117">IFERROR(INDEX($B$4:$B$145,                                    SMALL(IF((LEN($B$4:$B$145)&lt;&gt;0),ROW($B$4:$B$145)-ROW($B$3),"0"),ROW(B64)-ROW($B$3))                             ),"0")</f>
        <v>0</v>
      </c>
      <c r="V117" s="12" t="str">
        <f t="array" ref="V117">IFERROR(INDEX($A$4:$A$145,MATCH(0,COUNTIF($V$3:V116,$A$4:$A$145),0)),"0")</f>
        <v>0</v>
      </c>
      <c r="W117" s="13">
        <v>1</v>
      </c>
      <c r="X117" s="13">
        <f t="shared" si="9"/>
        <v>0</v>
      </c>
      <c r="Y117" s="13">
        <f t="shared" si="10"/>
        <v>0</v>
      </c>
      <c r="Z117" s="13"/>
      <c r="AA117" s="13"/>
    </row>
    <row r="118" spans="1:27" x14ac:dyDescent="0.25">
      <c r="A118" s="48"/>
      <c r="B118" s="15"/>
      <c r="C118" s="16"/>
      <c r="D118" s="3" t="str">
        <f t="shared" si="11"/>
        <v/>
      </c>
      <c r="U118" s="12" t="str">
        <f t="array" ref="U118">IFERROR(INDEX($B$4:$B$145,                                    SMALL(IF((LEN($B$4:$B$145)&lt;&gt;0),ROW($B$4:$B$145)-ROW($B$3),"0"),ROW(B65)-ROW($B$3))                             ),"0")</f>
        <v>0</v>
      </c>
      <c r="V118" s="12" t="str">
        <f t="array" ref="V118">IFERROR(INDEX($A$4:$A$145,MATCH(0,COUNTIF($V$3:V117,$A$4:$A$145),0)),"0")</f>
        <v>0</v>
      </c>
      <c r="W118" s="13">
        <v>1</v>
      </c>
      <c r="X118" s="13">
        <f t="shared" si="9"/>
        <v>0</v>
      </c>
      <c r="Y118" s="13">
        <f t="shared" si="10"/>
        <v>0</v>
      </c>
      <c r="Z118" s="13"/>
      <c r="AA118" s="13"/>
    </row>
    <row r="119" spans="1:27" x14ac:dyDescent="0.25">
      <c r="A119" s="48"/>
      <c r="B119" s="15"/>
      <c r="C119" s="16"/>
      <c r="D119" s="3" t="str">
        <f t="shared" si="11"/>
        <v/>
      </c>
      <c r="U119" s="12" t="str">
        <f t="array" ref="U119">IFERROR(INDEX($B$4:$B$145,                                    SMALL(IF((LEN($B$4:$B$145)&lt;&gt;0),ROW($B$4:$B$145)-ROW($B$3),"0"),ROW(B66)-ROW($B$3))                             ),"0")</f>
        <v>0</v>
      </c>
      <c r="V119" s="12" t="str">
        <f t="array" ref="V119">IFERROR(INDEX($A$4:$A$145,MATCH(0,COUNTIF($V$3:V118,$A$4:$A$145),0)),"0")</f>
        <v>0</v>
      </c>
      <c r="W119" s="13">
        <v>1</v>
      </c>
      <c r="X119" s="13">
        <f t="shared" si="9"/>
        <v>0</v>
      </c>
      <c r="Y119" s="13">
        <f t="shared" si="10"/>
        <v>0</v>
      </c>
      <c r="Z119" s="13"/>
      <c r="AA119" s="13"/>
    </row>
    <row r="120" spans="1:27" x14ac:dyDescent="0.25">
      <c r="A120" s="48"/>
      <c r="B120" s="15"/>
      <c r="C120" s="16"/>
      <c r="D120" s="3" t="str">
        <f t="shared" si="11"/>
        <v/>
      </c>
      <c r="U120" s="12" t="str">
        <f t="array" ref="U120">IFERROR(INDEX($B$4:$B$145,                                    SMALL(IF((LEN($B$4:$B$145)&lt;&gt;0),ROW($B$4:$B$145)-ROW($B$3),"0"),ROW(B67)-ROW($B$3))                             ),"0")</f>
        <v>0</v>
      </c>
      <c r="V120" s="12" t="str">
        <f t="array" ref="V120">IFERROR(INDEX($A$4:$A$145,MATCH(0,COUNTIF($V$3:V119,$A$4:$A$145),0)),"0")</f>
        <v>0</v>
      </c>
      <c r="W120" s="13">
        <v>1</v>
      </c>
      <c r="X120" s="13">
        <f t="shared" si="9"/>
        <v>0</v>
      </c>
      <c r="Y120" s="13">
        <f t="shared" si="10"/>
        <v>0</v>
      </c>
      <c r="Z120" s="13"/>
      <c r="AA120" s="13"/>
    </row>
    <row r="121" spans="1:27" x14ac:dyDescent="0.25">
      <c r="A121" s="48"/>
      <c r="B121" s="15"/>
      <c r="C121" s="16"/>
      <c r="D121" s="3" t="str">
        <f t="shared" si="11"/>
        <v/>
      </c>
      <c r="U121" s="12" t="str">
        <f t="array" ref="U121">IFERROR(INDEX($B$4:$B$145,                                    SMALL(IF((LEN($B$4:$B$145)&lt;&gt;0),ROW($B$4:$B$145)-ROW($B$3),"0"),ROW(B68)-ROW($B$3))                             ),"0")</f>
        <v>0</v>
      </c>
      <c r="V121" s="12" t="str">
        <f t="array" ref="V121">IFERROR(INDEX($A$4:$A$145,MATCH(0,COUNTIF($V$3:V120,$A$4:$A$145),0)),"0")</f>
        <v>0</v>
      </c>
      <c r="W121" s="13">
        <v>1</v>
      </c>
      <c r="X121" s="13">
        <f t="shared" si="9"/>
        <v>0</v>
      </c>
      <c r="Y121" s="13">
        <f t="shared" si="10"/>
        <v>0</v>
      </c>
      <c r="Z121" s="13"/>
      <c r="AA121" s="13"/>
    </row>
    <row r="122" spans="1:27" x14ac:dyDescent="0.25">
      <c r="A122" s="48"/>
      <c r="B122" s="15"/>
      <c r="C122" s="16"/>
      <c r="D122" s="3" t="str">
        <f t="shared" si="11"/>
        <v/>
      </c>
      <c r="U122" s="12" t="str">
        <f t="array" ref="U122">IFERROR(INDEX($B$4:$B$145,                                    SMALL(IF((LEN($B$4:$B$145)&lt;&gt;0),ROW($B$4:$B$145)-ROW($B$3),"0"),ROW(B69)-ROW($B$3))                             ),"0")</f>
        <v>0</v>
      </c>
      <c r="V122" s="12" t="str">
        <f t="array" ref="V122">IFERROR(INDEX($A$4:$A$145,MATCH(0,COUNTIF($V$3:V121,$A$4:$A$145),0)),"0")</f>
        <v>0</v>
      </c>
      <c r="W122" s="13">
        <v>1</v>
      </c>
      <c r="X122" s="13">
        <f t="shared" si="9"/>
        <v>0</v>
      </c>
      <c r="Y122" s="13">
        <f t="shared" si="10"/>
        <v>0</v>
      </c>
      <c r="Z122" s="13"/>
      <c r="AA122" s="13"/>
    </row>
    <row r="123" spans="1:27" x14ac:dyDescent="0.25">
      <c r="A123" s="48"/>
      <c r="B123" s="15"/>
      <c r="C123" s="16"/>
      <c r="D123" s="3" t="str">
        <f t="shared" si="11"/>
        <v/>
      </c>
      <c r="U123" s="12" t="str">
        <f t="array" ref="U123">IFERROR(INDEX($B$4:$B$145,                                    SMALL(IF((LEN($B$4:$B$145)&lt;&gt;0),ROW($B$4:$B$145)-ROW($B$3),"0"),ROW(B70)-ROW($B$3))                             ),"0")</f>
        <v>0</v>
      </c>
      <c r="V123" s="12" t="str">
        <f t="array" ref="V123">IFERROR(INDEX($A$4:$A$145,MATCH(0,COUNTIF($V$3:V122,$A$4:$A$145),0)),"0")</f>
        <v>0</v>
      </c>
      <c r="W123" s="13">
        <v>1</v>
      </c>
      <c r="X123" s="13">
        <f t="shared" si="9"/>
        <v>0</v>
      </c>
      <c r="Y123" s="13">
        <f t="shared" si="10"/>
        <v>0</v>
      </c>
      <c r="Z123" s="13"/>
      <c r="AA123" s="13"/>
    </row>
    <row r="124" spans="1:27" x14ac:dyDescent="0.25">
      <c r="A124" s="48"/>
      <c r="B124" s="15"/>
      <c r="C124" s="16"/>
      <c r="D124" s="3" t="str">
        <f t="shared" si="11"/>
        <v/>
      </c>
      <c r="U124" s="12" t="str">
        <f t="array" ref="U124">IFERROR(INDEX($B$4:$B$145,                                    SMALL(IF((LEN($B$4:$B$145)&lt;&gt;0),ROW($B$4:$B$145)-ROW($B$3),"0"),ROW(B71)-ROW($B$3))                             ),"0")</f>
        <v>0</v>
      </c>
      <c r="V124" s="12" t="str">
        <f t="array" ref="V124">IFERROR(INDEX($A$4:$A$145,MATCH(0,COUNTIF($V$3:V123,$A$4:$A$145),0)),"0")</f>
        <v>0</v>
      </c>
      <c r="W124" s="13">
        <v>1</v>
      </c>
      <c r="X124" s="13">
        <f t="shared" si="9"/>
        <v>0</v>
      </c>
      <c r="Y124" s="13">
        <f t="shared" si="10"/>
        <v>0</v>
      </c>
      <c r="Z124" s="13"/>
      <c r="AA124" s="13"/>
    </row>
    <row r="125" spans="1:27" x14ac:dyDescent="0.25">
      <c r="A125" s="48"/>
      <c r="B125" s="15"/>
      <c r="C125" s="16"/>
      <c r="D125" s="3" t="str">
        <f t="shared" si="11"/>
        <v/>
      </c>
      <c r="U125" s="12" t="str">
        <f t="array" ref="U125">IFERROR(INDEX($B$4:$B$145,                                    SMALL(IF((LEN($B$4:$B$145)&lt;&gt;0),ROW($B$4:$B$145)-ROW($B$3),"0"),ROW(B72)-ROW($B$3))                             ),"0")</f>
        <v>0</v>
      </c>
      <c r="V125" s="12" t="str">
        <f t="array" ref="V125">IFERROR(INDEX($A$4:$A$145,MATCH(0,COUNTIF($V$3:V124,$A$4:$A$145),0)),"0")</f>
        <v>0</v>
      </c>
      <c r="W125" s="13">
        <v>1</v>
      </c>
      <c r="X125" s="13">
        <f t="shared" si="9"/>
        <v>0</v>
      </c>
      <c r="Y125" s="13">
        <f t="shared" si="10"/>
        <v>0</v>
      </c>
      <c r="Z125" s="13"/>
      <c r="AA125" s="13"/>
    </row>
    <row r="126" spans="1:27" x14ac:dyDescent="0.25">
      <c r="A126" s="48"/>
      <c r="B126" s="15"/>
      <c r="C126" s="16"/>
      <c r="D126" s="3" t="str">
        <f t="shared" si="11"/>
        <v/>
      </c>
      <c r="U126" s="12" t="str">
        <f t="array" ref="U126">IFERROR(INDEX($B$4:$B$145,                                    SMALL(IF((LEN($B$4:$B$145)&lt;&gt;0),ROW($B$4:$B$145)-ROW($B$3),"0"),ROW(B73)-ROW($B$3))                             ),"0")</f>
        <v>0</v>
      </c>
      <c r="V126" s="12" t="str">
        <f t="array" ref="V126">IFERROR(INDEX($A$4:$A$145,MATCH(0,COUNTIF($V$3:V125,$A$4:$A$145),0)),"0")</f>
        <v>0</v>
      </c>
      <c r="W126" s="13">
        <v>1</v>
      </c>
      <c r="X126" s="13">
        <f t="shared" si="9"/>
        <v>0</v>
      </c>
      <c r="Y126" s="13">
        <f t="shared" si="10"/>
        <v>0</v>
      </c>
      <c r="Z126" s="13"/>
      <c r="AA126" s="13"/>
    </row>
    <row r="127" spans="1:27" x14ac:dyDescent="0.25">
      <c r="A127" s="48"/>
      <c r="B127" s="15"/>
      <c r="C127" s="16"/>
      <c r="D127" s="3" t="str">
        <f t="shared" si="11"/>
        <v/>
      </c>
      <c r="U127" s="12" t="str">
        <f t="array" ref="U127">IFERROR(INDEX($B$4:$B$145,                                    SMALL(IF((LEN($B$4:$B$145)&lt;&gt;0),ROW($B$4:$B$145)-ROW($B$3),"0"),ROW(B74)-ROW($B$3))                             ),"0")</f>
        <v>0</v>
      </c>
      <c r="V127" s="12" t="str">
        <f t="array" ref="V127">IFERROR(INDEX($A$4:$A$145,MATCH(0,COUNTIF($V$3:V126,$A$4:$A$145),0)),"0")</f>
        <v>0</v>
      </c>
      <c r="W127" s="13">
        <v>1</v>
      </c>
      <c r="X127" s="13">
        <f t="shared" si="9"/>
        <v>0</v>
      </c>
      <c r="Y127" s="13">
        <f t="shared" si="10"/>
        <v>0</v>
      </c>
      <c r="Z127" s="13"/>
      <c r="AA127" s="13"/>
    </row>
    <row r="128" spans="1:27" x14ac:dyDescent="0.25">
      <c r="A128" s="48"/>
      <c r="B128" s="15"/>
      <c r="C128" s="16"/>
      <c r="D128" s="3" t="str">
        <f t="shared" ref="D128:D145" si="12">IFERROR(IF(AND(LEN(A128)=0,LEN(B128)=0),"",IF(LEN(B128)=0,A128,A128&amp;"-"&amp;B128)),"")</f>
        <v/>
      </c>
      <c r="U128" s="12" t="str">
        <f t="array" ref="U128">IFERROR(INDEX($B$4:$B$145,                                    SMALL(IF((LEN($B$4:$B$145)&lt;&gt;0),ROW($B$4:$B$145)-ROW($B$3),"0"),ROW(B75)-ROW($B$3))                             ),"0")</f>
        <v>0</v>
      </c>
      <c r="V128" s="12" t="str">
        <f t="array" ref="V128">IFERROR(INDEX($A$4:$A$145,MATCH(0,COUNTIF($V$3:V127,$A$4:$A$145),0)),"0")</f>
        <v>0</v>
      </c>
      <c r="W128" s="13">
        <v>1</v>
      </c>
      <c r="X128" s="13">
        <f t="shared" si="9"/>
        <v>0</v>
      </c>
      <c r="Y128" s="13">
        <f t="shared" si="10"/>
        <v>0</v>
      </c>
      <c r="Z128" s="13"/>
      <c r="AA128" s="13"/>
    </row>
    <row r="129" spans="1:27" x14ac:dyDescent="0.25">
      <c r="A129" s="48"/>
      <c r="B129" s="15"/>
      <c r="C129" s="16"/>
      <c r="D129" s="3" t="str">
        <f t="shared" si="12"/>
        <v/>
      </c>
      <c r="U129" s="12" t="str">
        <f t="array" ref="U129">IFERROR(INDEX($B$4:$B$145,                                    SMALL(IF((LEN($B$4:$B$145)&lt;&gt;0),ROW($B$4:$B$145)-ROW($B$3),"0"),ROW(B76)-ROW($B$3))                             ),"0")</f>
        <v>0</v>
      </c>
      <c r="V129" s="12" t="str">
        <f t="array" ref="V129">IFERROR(INDEX($A$4:$A$145,MATCH(0,COUNTIF($V$3:V128,$A$4:$A$145),0)),"0")</f>
        <v>0</v>
      </c>
      <c r="W129" s="13">
        <v>1</v>
      </c>
      <c r="X129" s="13">
        <f t="shared" si="9"/>
        <v>0</v>
      </c>
      <c r="Y129" s="13">
        <f t="shared" si="10"/>
        <v>0</v>
      </c>
      <c r="Z129" s="13"/>
      <c r="AA129" s="13"/>
    </row>
    <row r="130" spans="1:27" x14ac:dyDescent="0.25">
      <c r="A130" s="48"/>
      <c r="B130" s="15"/>
      <c r="C130" s="16"/>
      <c r="D130" s="3" t="str">
        <f t="shared" si="12"/>
        <v/>
      </c>
      <c r="U130" s="12" t="str">
        <f t="array" ref="U130">IFERROR(INDEX($B$4:$B$145,                                    SMALL(IF((LEN($B$4:$B$145)&lt;&gt;0),ROW($B$4:$B$145)-ROW($B$3),"0"),ROW(B77)-ROW($B$3))                             ),"0")</f>
        <v>0</v>
      </c>
      <c r="V130" s="12" t="str">
        <f t="array" ref="V130">IFERROR(INDEX($A$4:$A$145,MATCH(0,COUNTIF($V$3:V129,$A$4:$A$145),0)),"0")</f>
        <v>0</v>
      </c>
      <c r="W130" s="13">
        <v>1</v>
      </c>
      <c r="X130" s="13">
        <f t="shared" ref="X130:X193" si="13">U130*W130</f>
        <v>0</v>
      </c>
      <c r="Y130" s="13">
        <f t="shared" ref="Y130:Y193" si="14">W130*V130</f>
        <v>0</v>
      </c>
      <c r="Z130" s="13"/>
      <c r="AA130" s="13"/>
    </row>
    <row r="131" spans="1:27" x14ac:dyDescent="0.25">
      <c r="A131" s="48"/>
      <c r="B131" s="15"/>
      <c r="C131" s="16"/>
      <c r="D131" s="3" t="str">
        <f t="shared" si="12"/>
        <v/>
      </c>
      <c r="U131" s="12" t="str">
        <f t="array" ref="U131">IFERROR(INDEX($B$4:$B$145,                                    SMALL(IF((LEN($B$4:$B$145)&lt;&gt;0),ROW($B$4:$B$145)-ROW($B$3),"0"),ROW(B78)-ROW($B$3))                             ),"0")</f>
        <v>0</v>
      </c>
      <c r="V131" s="12" t="str">
        <f t="array" ref="V131">IFERROR(INDEX($A$4:$A$145,MATCH(0,COUNTIF($V$3:V130,$A$4:$A$145),0)),"0")</f>
        <v>0</v>
      </c>
      <c r="W131" s="13">
        <v>1</v>
      </c>
      <c r="X131" s="13">
        <f t="shared" si="13"/>
        <v>0</v>
      </c>
      <c r="Y131" s="13">
        <f t="shared" si="14"/>
        <v>0</v>
      </c>
      <c r="Z131" s="13"/>
      <c r="AA131" s="13"/>
    </row>
    <row r="132" spans="1:27" x14ac:dyDescent="0.25">
      <c r="A132" s="48"/>
      <c r="B132" s="15"/>
      <c r="C132" s="16"/>
      <c r="D132" s="3" t="str">
        <f t="shared" si="12"/>
        <v/>
      </c>
      <c r="U132" s="12" t="str">
        <f t="array" ref="U132">IFERROR(INDEX($B$4:$B$145,                                    SMALL(IF((LEN($B$4:$B$145)&lt;&gt;0),ROW($B$4:$B$145)-ROW($B$3),"0"),ROW(B79)-ROW($B$3))                             ),"0")</f>
        <v>0</v>
      </c>
      <c r="V132" s="12" t="str">
        <f t="array" ref="V132">IFERROR(INDEX($A$4:$A$145,MATCH(0,COUNTIF($V$3:V131,$A$4:$A$145),0)),"0")</f>
        <v>0</v>
      </c>
      <c r="W132" s="13">
        <v>1</v>
      </c>
      <c r="X132" s="13">
        <f t="shared" si="13"/>
        <v>0</v>
      </c>
      <c r="Y132" s="13">
        <f t="shared" si="14"/>
        <v>0</v>
      </c>
      <c r="Z132" s="13"/>
      <c r="AA132" s="13"/>
    </row>
    <row r="133" spans="1:27" x14ac:dyDescent="0.25">
      <c r="A133" s="48"/>
      <c r="B133" s="15"/>
      <c r="C133" s="16"/>
      <c r="D133" s="3" t="str">
        <f t="shared" si="12"/>
        <v/>
      </c>
      <c r="U133" s="12" t="str">
        <f t="array" ref="U133">IFERROR(INDEX($B$4:$B$145,                                    SMALL(IF((LEN($B$4:$B$145)&lt;&gt;0),ROW($B$4:$B$145)-ROW($B$3),"0"),ROW(B80)-ROW($B$3))                             ),"0")</f>
        <v>0</v>
      </c>
      <c r="V133" s="12" t="str">
        <f t="array" ref="V133">IFERROR(INDEX($A$4:$A$145,MATCH(0,COUNTIF($V$3:V132,$A$4:$A$145),0)),"0")</f>
        <v>0</v>
      </c>
      <c r="W133" s="13">
        <v>1</v>
      </c>
      <c r="X133" s="13">
        <f t="shared" si="13"/>
        <v>0</v>
      </c>
      <c r="Y133" s="13">
        <f t="shared" si="14"/>
        <v>0</v>
      </c>
      <c r="Z133" s="13"/>
      <c r="AA133" s="13"/>
    </row>
    <row r="134" spans="1:27" x14ac:dyDescent="0.25">
      <c r="A134" s="48"/>
      <c r="B134" s="15"/>
      <c r="C134" s="16"/>
      <c r="D134" s="3" t="str">
        <f t="shared" si="12"/>
        <v/>
      </c>
      <c r="U134" s="12" t="str">
        <f t="array" ref="U134">IFERROR(INDEX($B$4:$B$145,                                    SMALL(IF((LEN($B$4:$B$145)&lt;&gt;0),ROW($B$4:$B$145)-ROW($B$3),"0"),ROW(B81)-ROW($B$3))                             ),"0")</f>
        <v>0</v>
      </c>
      <c r="V134" s="12" t="str">
        <f t="array" ref="V134">IFERROR(INDEX($A$4:$A$145,MATCH(0,COUNTIF($V$3:V133,$A$4:$A$145),0)),"0")</f>
        <v>0</v>
      </c>
      <c r="W134" s="13">
        <v>1</v>
      </c>
      <c r="X134" s="13">
        <f t="shared" si="13"/>
        <v>0</v>
      </c>
      <c r="Y134" s="13">
        <f t="shared" si="14"/>
        <v>0</v>
      </c>
      <c r="Z134" s="13"/>
      <c r="AA134" s="13"/>
    </row>
    <row r="135" spans="1:27" x14ac:dyDescent="0.25">
      <c r="A135" s="48"/>
      <c r="B135" s="15"/>
      <c r="C135" s="16"/>
      <c r="D135" s="3" t="str">
        <f t="shared" si="12"/>
        <v/>
      </c>
      <c r="U135" s="12" t="str">
        <f t="array" ref="U135">IFERROR(INDEX($B$4:$B$145,                                    SMALL(IF((LEN($B$4:$B$145)&lt;&gt;0),ROW($B$4:$B$145)-ROW($B$3),"0"),ROW(B82)-ROW($B$3))                             ),"0")</f>
        <v>0</v>
      </c>
      <c r="V135" s="12" t="str">
        <f t="array" ref="V135">IFERROR(INDEX($A$4:$A$145,MATCH(0,COUNTIF($V$3:V134,$A$4:$A$145),0)),"0")</f>
        <v>0</v>
      </c>
      <c r="W135" s="13">
        <v>1</v>
      </c>
      <c r="X135" s="13">
        <f t="shared" si="13"/>
        <v>0</v>
      </c>
      <c r="Y135" s="13">
        <f t="shared" si="14"/>
        <v>0</v>
      </c>
      <c r="Z135" s="13"/>
      <c r="AA135" s="13"/>
    </row>
    <row r="136" spans="1:27" x14ac:dyDescent="0.25">
      <c r="A136" s="48"/>
      <c r="B136" s="15"/>
      <c r="C136" s="16"/>
      <c r="D136" s="3" t="str">
        <f t="shared" si="12"/>
        <v/>
      </c>
      <c r="U136" s="12" t="str">
        <f t="array" ref="U136">IFERROR(INDEX($B$4:$B$145,                                    SMALL(IF((LEN($B$4:$B$145)&lt;&gt;0),ROW($B$4:$B$145)-ROW($B$3),"0"),ROW(B83)-ROW($B$3))                             ),"0")</f>
        <v>0</v>
      </c>
      <c r="V136" s="12" t="str">
        <f t="array" ref="V136">IFERROR(INDEX($A$4:$A$145,MATCH(0,COUNTIF($V$3:V135,$A$4:$A$145),0)),"0")</f>
        <v>0</v>
      </c>
      <c r="W136" s="13">
        <v>1</v>
      </c>
      <c r="X136" s="13">
        <f t="shared" si="13"/>
        <v>0</v>
      </c>
      <c r="Y136" s="13">
        <f t="shared" si="14"/>
        <v>0</v>
      </c>
      <c r="Z136" s="13"/>
      <c r="AA136" s="13"/>
    </row>
    <row r="137" spans="1:27" x14ac:dyDescent="0.25">
      <c r="A137" s="48"/>
      <c r="B137" s="15"/>
      <c r="C137" s="16"/>
      <c r="D137" s="3" t="str">
        <f t="shared" si="12"/>
        <v/>
      </c>
      <c r="U137" s="12" t="str">
        <f t="array" ref="U137">IFERROR(INDEX($B$4:$B$145,                                    SMALL(IF((LEN($B$4:$B$145)&lt;&gt;0),ROW($B$4:$B$145)-ROW($B$3),"0"),ROW(B84)-ROW($B$3))                             ),"0")</f>
        <v>0</v>
      </c>
      <c r="V137" s="12" t="str">
        <f t="array" ref="V137">IFERROR(INDEX($A$4:$A$145,MATCH(0,COUNTIF($V$3:V136,$A$4:$A$145),0)),"0")</f>
        <v>0</v>
      </c>
      <c r="W137" s="13">
        <v>1</v>
      </c>
      <c r="X137" s="13">
        <f t="shared" si="13"/>
        <v>0</v>
      </c>
      <c r="Y137" s="13">
        <f t="shared" si="14"/>
        <v>0</v>
      </c>
      <c r="Z137" s="13"/>
      <c r="AA137" s="13"/>
    </row>
    <row r="138" spans="1:27" x14ac:dyDescent="0.25">
      <c r="A138" s="48"/>
      <c r="B138" s="15"/>
      <c r="C138" s="16"/>
      <c r="D138" s="3" t="str">
        <f t="shared" si="12"/>
        <v/>
      </c>
      <c r="U138" s="12" t="str">
        <f t="array" ref="U138">IFERROR(INDEX($B$4:$B$145,                                    SMALL(IF((LEN($B$4:$B$145)&lt;&gt;0),ROW($B$4:$B$145)-ROW($B$3),"0"),ROW(B85)-ROW($B$3))                             ),"0")</f>
        <v>0</v>
      </c>
      <c r="V138" s="12" t="str">
        <f t="array" ref="V138">IFERROR(INDEX($A$4:$A$145,MATCH(0,COUNTIF($V$3:V137,$A$4:$A$145),0)),"0")</f>
        <v>0</v>
      </c>
      <c r="W138" s="13">
        <v>1</v>
      </c>
      <c r="X138" s="13">
        <f t="shared" si="13"/>
        <v>0</v>
      </c>
      <c r="Y138" s="13">
        <f t="shared" si="14"/>
        <v>0</v>
      </c>
      <c r="Z138" s="13"/>
      <c r="AA138" s="13"/>
    </row>
    <row r="139" spans="1:27" x14ac:dyDescent="0.25">
      <c r="A139" s="48"/>
      <c r="B139" s="15"/>
      <c r="C139" s="16"/>
      <c r="D139" s="3" t="str">
        <f t="shared" si="12"/>
        <v/>
      </c>
      <c r="U139" s="12" t="str">
        <f t="array" ref="U139">IFERROR(INDEX($B$4:$B$145,                                    SMALL(IF((LEN($B$4:$B$145)&lt;&gt;0),ROW($B$4:$B$145)-ROW($B$3),"0"),ROW(B86)-ROW($B$3))                             ),"0")</f>
        <v>0</v>
      </c>
      <c r="V139" s="12" t="str">
        <f t="array" ref="V139">IFERROR(INDEX($A$4:$A$145,MATCH(0,COUNTIF($V$3:V138,$A$4:$A$145),0)),"0")</f>
        <v>0</v>
      </c>
      <c r="W139" s="13">
        <v>1</v>
      </c>
      <c r="X139" s="13">
        <f t="shared" si="13"/>
        <v>0</v>
      </c>
      <c r="Y139" s="13">
        <f t="shared" si="14"/>
        <v>0</v>
      </c>
      <c r="Z139" s="13"/>
      <c r="AA139" s="13"/>
    </row>
    <row r="140" spans="1:27" x14ac:dyDescent="0.25">
      <c r="A140" s="48"/>
      <c r="B140" s="15"/>
      <c r="C140" s="16"/>
      <c r="D140" s="3" t="str">
        <f t="shared" si="12"/>
        <v/>
      </c>
      <c r="U140" s="12" t="str">
        <f t="array" ref="U140">IFERROR(INDEX($B$4:$B$145,                                    SMALL(IF((LEN($B$4:$B$145)&lt;&gt;0),ROW($B$4:$B$145)-ROW($B$3),"0"),ROW(B87)-ROW($B$3))                             ),"0")</f>
        <v>0</v>
      </c>
      <c r="V140" s="12" t="str">
        <f t="array" ref="V140">IFERROR(INDEX($A$4:$A$145,MATCH(0,COUNTIF($V$3:V139,$A$4:$A$145),0)),"0")</f>
        <v>0</v>
      </c>
      <c r="W140" s="13">
        <v>1</v>
      </c>
      <c r="X140" s="13">
        <f t="shared" si="13"/>
        <v>0</v>
      </c>
      <c r="Y140" s="13">
        <f t="shared" si="14"/>
        <v>0</v>
      </c>
      <c r="Z140" s="13"/>
      <c r="AA140" s="13"/>
    </row>
    <row r="141" spans="1:27" x14ac:dyDescent="0.25">
      <c r="A141" s="48"/>
      <c r="B141" s="15"/>
      <c r="C141" s="16"/>
      <c r="D141" s="3" t="str">
        <f t="shared" si="12"/>
        <v/>
      </c>
      <c r="U141" s="12" t="str">
        <f t="array" ref="U141">IFERROR(INDEX($B$4:$B$145,                                    SMALL(IF((LEN($B$4:$B$145)&lt;&gt;0),ROW($B$4:$B$145)-ROW($B$3),"0"),ROW(B88)-ROW($B$3))                             ),"0")</f>
        <v>0</v>
      </c>
      <c r="V141" s="12" t="str">
        <f t="array" ref="V141">IFERROR(INDEX($A$4:$A$145,MATCH(0,COUNTIF($V$3:V140,$A$4:$A$145),0)),"0")</f>
        <v>0</v>
      </c>
      <c r="W141" s="13">
        <v>1</v>
      </c>
      <c r="X141" s="13">
        <f t="shared" si="13"/>
        <v>0</v>
      </c>
      <c r="Y141" s="13">
        <f t="shared" si="14"/>
        <v>0</v>
      </c>
      <c r="Z141" s="13"/>
      <c r="AA141" s="13"/>
    </row>
    <row r="142" spans="1:27" x14ac:dyDescent="0.25">
      <c r="A142" s="48"/>
      <c r="B142" s="15"/>
      <c r="C142" s="16"/>
      <c r="D142" s="3" t="str">
        <f t="shared" si="12"/>
        <v/>
      </c>
      <c r="U142" s="12" t="str">
        <f t="array" ref="U142">IFERROR(INDEX($B$4:$B$145,                                    SMALL(IF((LEN($B$4:$B$145)&lt;&gt;0),ROW($B$4:$B$145)-ROW($B$3),"0"),ROW(B89)-ROW($B$3))                             ),"0")</f>
        <v>0</v>
      </c>
      <c r="V142" s="12" t="str">
        <f t="array" ref="V142">IFERROR(INDEX($A$4:$A$145,MATCH(0,COUNTIF($V$3:V141,$A$4:$A$145),0)),"0")</f>
        <v>0</v>
      </c>
      <c r="W142" s="13">
        <v>1</v>
      </c>
      <c r="X142" s="13">
        <f t="shared" si="13"/>
        <v>0</v>
      </c>
      <c r="Y142" s="13">
        <f t="shared" si="14"/>
        <v>0</v>
      </c>
      <c r="Z142" s="13"/>
      <c r="AA142" s="13"/>
    </row>
    <row r="143" spans="1:27" x14ac:dyDescent="0.25">
      <c r="A143" s="48"/>
      <c r="B143" s="15"/>
      <c r="C143" s="16"/>
      <c r="D143" s="3" t="str">
        <f t="shared" si="12"/>
        <v/>
      </c>
      <c r="U143" s="12" t="str">
        <f t="array" ref="U143">IFERROR(INDEX($B$4:$B$145,                                    SMALL(IF((LEN($B$4:$B$145)&lt;&gt;0),ROW($B$4:$B$145)-ROW($B$3),"0"),ROW(B90)-ROW($B$3))                             ),"0")</f>
        <v>0</v>
      </c>
      <c r="V143" s="12" t="str">
        <f t="array" ref="V143">IFERROR(INDEX($A$4:$A$145,MATCH(0,COUNTIF($V$3:V142,$A$4:$A$145),0)),"0")</f>
        <v>0</v>
      </c>
      <c r="W143" s="13">
        <v>1</v>
      </c>
      <c r="X143" s="13">
        <f t="shared" si="13"/>
        <v>0</v>
      </c>
      <c r="Y143" s="13">
        <f t="shared" si="14"/>
        <v>0</v>
      </c>
      <c r="Z143" s="13"/>
      <c r="AA143" s="13"/>
    </row>
    <row r="144" spans="1:27" x14ac:dyDescent="0.25">
      <c r="A144" s="48"/>
      <c r="B144" s="15"/>
      <c r="C144" s="16"/>
      <c r="D144" s="3" t="str">
        <f t="shared" si="12"/>
        <v/>
      </c>
      <c r="U144" s="12" t="str">
        <f t="array" ref="U144">IFERROR(INDEX($B$4:$B$145,                                    SMALL(IF((LEN($B$4:$B$145)&lt;&gt;0),ROW($B$4:$B$145)-ROW($B$3),"0"),ROW(B91)-ROW($B$3))                             ),"0")</f>
        <v>0</v>
      </c>
      <c r="V144" s="12" t="str">
        <f t="array" ref="V144">IFERROR(INDEX($A$4:$A$145,MATCH(0,COUNTIF($V$3:V143,$A$4:$A$145),0)),"0")</f>
        <v>0</v>
      </c>
      <c r="W144" s="13">
        <v>1</v>
      </c>
      <c r="X144" s="13">
        <f t="shared" si="13"/>
        <v>0</v>
      </c>
      <c r="Y144" s="13">
        <f t="shared" si="14"/>
        <v>0</v>
      </c>
      <c r="Z144" s="13"/>
      <c r="AA144" s="13"/>
    </row>
    <row r="145" spans="1:27" x14ac:dyDescent="0.25">
      <c r="A145" s="49"/>
      <c r="B145" s="50"/>
      <c r="C145" s="51"/>
      <c r="D145" s="52" t="str">
        <f t="shared" si="12"/>
        <v/>
      </c>
      <c r="U145" s="12" t="str">
        <f t="array" ref="U145">IFERROR(INDEX($B$4:$B$145,                                    SMALL(IF((LEN($B$4:$B$145)&lt;&gt;0),ROW($B$4:$B$145)-ROW($B$3),"0"),ROW(B92)-ROW($B$3))                             ),"0")</f>
        <v>0</v>
      </c>
      <c r="V145" s="12" t="str">
        <f t="array" ref="V145">IFERROR(INDEX($A$4:$A$145,MATCH(0,COUNTIF($V$3:V144,$A$4:$A$145),0)),"0")</f>
        <v>0</v>
      </c>
      <c r="W145" s="13">
        <v>1</v>
      </c>
      <c r="X145" s="13">
        <f t="shared" si="13"/>
        <v>0</v>
      </c>
      <c r="Y145" s="13">
        <f t="shared" si="14"/>
        <v>0</v>
      </c>
      <c r="Z145" s="13"/>
      <c r="AA145" s="13"/>
    </row>
    <row r="146" spans="1:27" x14ac:dyDescent="0.25">
      <c r="U146" s="12" t="str">
        <f t="array" ref="U146">IFERROR(INDEX($B$4:$B$145,                                    SMALL(IF((LEN($B$4:$B$145)&lt;&gt;0),ROW($B$4:$B$145)-ROW($B$3),"0"),ROW(B93)-ROW($B$3))                             ),"0")</f>
        <v>0</v>
      </c>
      <c r="V146" s="12" t="str">
        <f t="array" ref="V146">IFERROR(INDEX($A$4:$A$145,MATCH(0,COUNTIF($V$3:V145,$A$4:$A$145),0)),"0")</f>
        <v>0</v>
      </c>
      <c r="W146" s="13">
        <v>1</v>
      </c>
      <c r="X146" s="13">
        <f t="shared" si="13"/>
        <v>0</v>
      </c>
      <c r="Y146" s="13">
        <f t="shared" si="14"/>
        <v>0</v>
      </c>
      <c r="Z146" s="13"/>
      <c r="AA146" s="13"/>
    </row>
    <row r="147" spans="1:27" x14ac:dyDescent="0.25">
      <c r="U147" s="12" t="str">
        <f t="array" ref="U147">IFERROR(INDEX($B$4:$B$145,                                    SMALL(IF((LEN($B$4:$B$145)&lt;&gt;0),ROW($B$4:$B$145)-ROW($B$3),"0"),ROW(B94)-ROW($B$3))                             ),"0")</f>
        <v>0</v>
      </c>
      <c r="V147" s="12" t="str">
        <f t="array" ref="V147">IFERROR(INDEX($A$4:$A$145,MATCH(0,COUNTIF($V$3:V146,$A$4:$A$145),0)),"0")</f>
        <v>0</v>
      </c>
      <c r="W147" s="13">
        <v>1</v>
      </c>
      <c r="X147" s="13">
        <f t="shared" si="13"/>
        <v>0</v>
      </c>
      <c r="Y147" s="13">
        <f t="shared" si="14"/>
        <v>0</v>
      </c>
      <c r="Z147" s="13"/>
      <c r="AA147" s="13"/>
    </row>
    <row r="148" spans="1:27" x14ac:dyDescent="0.25">
      <c r="U148" s="12" t="str">
        <f t="array" ref="U148">IFERROR(INDEX($B$4:$B$145,                                    SMALL(IF((LEN($B$4:$B$145)&lt;&gt;0),ROW($B$4:$B$145)-ROW($B$3),"0"),ROW(B95)-ROW($B$3))                             ),"0")</f>
        <v>0</v>
      </c>
      <c r="V148" s="12" t="str">
        <f t="array" ref="V148">IFERROR(INDEX($A$4:$A$145,MATCH(0,COUNTIF($V$3:V147,$A$4:$A$145),0)),"0")</f>
        <v>0</v>
      </c>
      <c r="W148" s="13">
        <v>1</v>
      </c>
      <c r="X148" s="13">
        <f t="shared" si="13"/>
        <v>0</v>
      </c>
      <c r="Y148" s="13">
        <f t="shared" si="14"/>
        <v>0</v>
      </c>
      <c r="Z148" s="13"/>
      <c r="AA148" s="13"/>
    </row>
    <row r="149" spans="1:27" x14ac:dyDescent="0.25">
      <c r="U149" s="12" t="str">
        <f t="array" ref="U149">IFERROR(INDEX($B$4:$B$145,                                    SMALL(IF((LEN($B$4:$B$145)&lt;&gt;0),ROW($B$4:$B$145)-ROW($B$3),"0"),ROW(B96)-ROW($B$3))                             ),"0")</f>
        <v>0</v>
      </c>
      <c r="V149" s="12" t="str">
        <f t="array" ref="V149">IFERROR(INDEX($A$4:$A$145,MATCH(0,COUNTIF($V$3:V148,$A$4:$A$145),0)),"0")</f>
        <v>0</v>
      </c>
      <c r="W149" s="13">
        <v>1</v>
      </c>
      <c r="X149" s="13">
        <f t="shared" si="13"/>
        <v>0</v>
      </c>
      <c r="Y149" s="13">
        <f t="shared" si="14"/>
        <v>0</v>
      </c>
      <c r="Z149" s="13"/>
      <c r="AA149" s="13"/>
    </row>
    <row r="150" spans="1:27" x14ac:dyDescent="0.25">
      <c r="U150" s="12" t="str">
        <f t="array" ref="U150">IFERROR(INDEX($B$4:$B$145,                                    SMALL(IF((LEN($B$4:$B$145)&lt;&gt;0),ROW($B$4:$B$145)-ROW($B$3),"0"),ROW(B97)-ROW($B$3))                             ),"0")</f>
        <v>0</v>
      </c>
      <c r="V150" s="12" t="str">
        <f t="array" ref="V150">IFERROR(INDEX($A$4:$A$145,MATCH(0,COUNTIF($V$3:V149,$A$4:$A$145),0)),"0")</f>
        <v>0</v>
      </c>
      <c r="W150" s="13">
        <v>1</v>
      </c>
      <c r="X150" s="13">
        <f t="shared" si="13"/>
        <v>0</v>
      </c>
      <c r="Y150" s="13">
        <f t="shared" si="14"/>
        <v>0</v>
      </c>
      <c r="Z150" s="13"/>
      <c r="AA150" s="13"/>
    </row>
    <row r="151" spans="1:27" x14ac:dyDescent="0.25">
      <c r="U151" s="12" t="str">
        <f t="array" ref="U151">IFERROR(INDEX($B$4:$B$145,                                    SMALL(IF((LEN($B$4:$B$145)&lt;&gt;0),ROW($B$4:$B$145)-ROW($B$3),"0"),ROW(B98)-ROW($B$3))                             ),"0")</f>
        <v>0</v>
      </c>
      <c r="V151" s="12" t="str">
        <f t="array" ref="V151">IFERROR(INDEX($A$4:$A$145,MATCH(0,COUNTIF($V$3:V150,$A$4:$A$145),0)),"0")</f>
        <v>0</v>
      </c>
      <c r="W151" s="13">
        <v>1</v>
      </c>
      <c r="X151" s="13">
        <f t="shared" si="13"/>
        <v>0</v>
      </c>
      <c r="Y151" s="13">
        <f t="shared" si="14"/>
        <v>0</v>
      </c>
      <c r="Z151" s="13"/>
      <c r="AA151" s="13"/>
    </row>
    <row r="152" spans="1:27" x14ac:dyDescent="0.25">
      <c r="U152" s="12" t="str">
        <f t="array" ref="U152">IFERROR(INDEX($B$4:$B$145,                                    SMALL(IF((LEN($B$4:$B$145)&lt;&gt;0),ROW($B$4:$B$145)-ROW($B$3),"0"),ROW(B99)-ROW($B$3))                             ),"0")</f>
        <v>0</v>
      </c>
      <c r="V152" s="12" t="str">
        <f t="array" ref="V152">IFERROR(INDEX($A$4:$A$145,MATCH(0,COUNTIF($V$3:V151,$A$4:$A$145),0)),"0")</f>
        <v>0</v>
      </c>
      <c r="W152" s="13">
        <v>1</v>
      </c>
      <c r="X152" s="13">
        <f t="shared" si="13"/>
        <v>0</v>
      </c>
      <c r="Y152" s="13">
        <f t="shared" si="14"/>
        <v>0</v>
      </c>
      <c r="Z152" s="13"/>
      <c r="AA152" s="13"/>
    </row>
    <row r="153" spans="1:27" x14ac:dyDescent="0.25">
      <c r="U153" s="12" t="str">
        <f t="array" ref="U153">IFERROR(INDEX($B$4:$B$145,                                    SMALL(IF((LEN($B$4:$B$145)&lt;&gt;0),ROW($B$4:$B$145)-ROW($B$3),"0"),ROW(B100)-ROW($B$3))                             ),"0")</f>
        <v>0</v>
      </c>
      <c r="V153" s="12" t="str">
        <f t="array" ref="V153">IFERROR(INDEX($A$4:$A$145,MATCH(0,COUNTIF($V$3:V152,$A$4:$A$145),0)),"0")</f>
        <v>0</v>
      </c>
      <c r="W153" s="13">
        <v>1</v>
      </c>
      <c r="X153" s="13">
        <f t="shared" si="13"/>
        <v>0</v>
      </c>
      <c r="Y153" s="13">
        <f t="shared" si="14"/>
        <v>0</v>
      </c>
      <c r="Z153" s="13"/>
      <c r="AA153" s="13"/>
    </row>
    <row r="154" spans="1:27" x14ac:dyDescent="0.25">
      <c r="U154" s="12" t="str">
        <f t="array" ref="U154">IFERROR(INDEX($B$4:$B$145,                                    SMALL(IF((LEN($B$4:$B$145)&lt;&gt;0),ROW($B$4:$B$145)-ROW($B$3),"0"),ROW(B101)-ROW($B$3))                             ),"0")</f>
        <v>0</v>
      </c>
      <c r="V154" s="12" t="str">
        <f t="array" ref="V154">IFERROR(INDEX($A$4:$A$145,MATCH(0,COUNTIF($V$3:V153,$A$4:$A$145),0)),"0")</f>
        <v>0</v>
      </c>
      <c r="W154" s="13">
        <v>1</v>
      </c>
      <c r="X154" s="13">
        <f t="shared" si="13"/>
        <v>0</v>
      </c>
      <c r="Y154" s="13">
        <f t="shared" si="14"/>
        <v>0</v>
      </c>
      <c r="Z154" s="13"/>
      <c r="AA154" s="13"/>
    </row>
    <row r="155" spans="1:27" x14ac:dyDescent="0.25">
      <c r="U155" s="12" t="str">
        <f t="array" ref="U155">IFERROR(INDEX($B$4:$B$145,                                    SMALL(IF((LEN($B$4:$B$145)&lt;&gt;0),ROW($B$4:$B$145)-ROW($B$3),"0"),ROW(B102)-ROW($B$3))                             ),"0")</f>
        <v>0</v>
      </c>
      <c r="V155" s="12" t="str">
        <f t="array" ref="V155">IFERROR(INDEX($A$4:$A$145,MATCH(0,COUNTIF($V$3:V154,$A$4:$A$145),0)),"0")</f>
        <v>0</v>
      </c>
      <c r="W155" s="13">
        <v>1</v>
      </c>
      <c r="X155" s="13">
        <f t="shared" si="13"/>
        <v>0</v>
      </c>
      <c r="Y155" s="13">
        <f t="shared" si="14"/>
        <v>0</v>
      </c>
      <c r="Z155" s="13"/>
      <c r="AA155" s="13"/>
    </row>
    <row r="156" spans="1:27" x14ac:dyDescent="0.25">
      <c r="U156" s="12" t="str">
        <f t="array" ref="U156">IFERROR(INDEX($B$4:$B$145,                                    SMALL(IF((LEN($B$4:$B$145)&lt;&gt;0),ROW($B$4:$B$145)-ROW($B$3),"0"),ROW(B103)-ROW($B$3))                             ),"0")</f>
        <v>0</v>
      </c>
      <c r="V156" s="12" t="str">
        <f t="array" ref="V156">IFERROR(INDEX($A$4:$A$145,MATCH(0,COUNTIF($V$3:V155,$A$4:$A$145),0)),"0")</f>
        <v>0</v>
      </c>
      <c r="W156" s="13">
        <v>1</v>
      </c>
      <c r="X156" s="13">
        <f t="shared" si="13"/>
        <v>0</v>
      </c>
      <c r="Y156" s="13">
        <f t="shared" si="14"/>
        <v>0</v>
      </c>
      <c r="Z156" s="13"/>
      <c r="AA156" s="13"/>
    </row>
    <row r="157" spans="1:27" x14ac:dyDescent="0.25">
      <c r="U157" s="12" t="str">
        <f t="array" ref="U157">IFERROR(INDEX($B$4:$B$145,                                    SMALL(IF((LEN($B$4:$B$145)&lt;&gt;0),ROW($B$4:$B$145)-ROW($B$3),"0"),ROW(B104)-ROW($B$3))                             ),"0")</f>
        <v>0</v>
      </c>
      <c r="V157" s="12" t="str">
        <f t="array" ref="V157">IFERROR(INDEX($A$4:$A$145,MATCH(0,COUNTIF($V$3:V156,$A$4:$A$145),0)),"0")</f>
        <v>0</v>
      </c>
      <c r="W157" s="13">
        <v>1</v>
      </c>
      <c r="X157" s="13">
        <f t="shared" si="13"/>
        <v>0</v>
      </c>
      <c r="Y157" s="13">
        <f t="shared" si="14"/>
        <v>0</v>
      </c>
      <c r="Z157" s="13"/>
      <c r="AA157" s="13"/>
    </row>
    <row r="158" spans="1:27" x14ac:dyDescent="0.25">
      <c r="U158" s="12" t="str">
        <f t="array" ref="U158">IFERROR(INDEX($B$4:$B$145,                                    SMALL(IF((LEN($B$4:$B$145)&lt;&gt;0),ROW($B$4:$B$145)-ROW($B$3),"0"),ROW(B105)-ROW($B$3))                             ),"0")</f>
        <v>0</v>
      </c>
      <c r="V158" s="12" t="str">
        <f t="array" ref="V158">IFERROR(INDEX($A$4:$A$145,MATCH(0,COUNTIF($V$3:V157,$A$4:$A$145),0)),"0")</f>
        <v>0</v>
      </c>
      <c r="W158" s="13">
        <v>1</v>
      </c>
      <c r="X158" s="13">
        <f t="shared" si="13"/>
        <v>0</v>
      </c>
      <c r="Y158" s="13">
        <f t="shared" si="14"/>
        <v>0</v>
      </c>
      <c r="Z158" s="13"/>
      <c r="AA158" s="13"/>
    </row>
    <row r="159" spans="1:27" x14ac:dyDescent="0.25">
      <c r="U159" s="12" t="str">
        <f t="array" ref="U159">IFERROR(INDEX($B$4:$B$145,                                    SMALL(IF((LEN($B$4:$B$145)&lt;&gt;0),ROW($B$4:$B$145)-ROW($B$3),"0"),ROW(B106)-ROW($B$3))                             ),"0")</f>
        <v>0</v>
      </c>
      <c r="V159" s="12" t="str">
        <f t="array" ref="V159">IFERROR(INDEX($A$4:$A$145,MATCH(0,COUNTIF($V$3:V158,$A$4:$A$145),0)),"0")</f>
        <v>0</v>
      </c>
      <c r="W159" s="13">
        <v>1</v>
      </c>
      <c r="X159" s="13">
        <f t="shared" si="13"/>
        <v>0</v>
      </c>
      <c r="Y159" s="13">
        <f t="shared" si="14"/>
        <v>0</v>
      </c>
      <c r="Z159" s="13"/>
      <c r="AA159" s="13"/>
    </row>
    <row r="160" spans="1:27" x14ac:dyDescent="0.25">
      <c r="U160" s="12" t="str">
        <f t="array" ref="U160">IFERROR(INDEX($B$4:$B$145,                                    SMALL(IF((LEN($B$4:$B$145)&lt;&gt;0),ROW($B$4:$B$145)-ROW($B$3),"0"),ROW(B107)-ROW($B$3))                             ),"0")</f>
        <v>0</v>
      </c>
      <c r="V160" s="12" t="str">
        <f t="array" ref="V160">IFERROR(INDEX($A$4:$A$145,MATCH(0,COUNTIF($V$3:V159,$A$4:$A$145),0)),"0")</f>
        <v>0</v>
      </c>
      <c r="W160" s="13">
        <v>1</v>
      </c>
      <c r="X160" s="13">
        <f t="shared" si="13"/>
        <v>0</v>
      </c>
      <c r="Y160" s="13">
        <f t="shared" si="14"/>
        <v>0</v>
      </c>
      <c r="Z160" s="13"/>
      <c r="AA160" s="13"/>
    </row>
    <row r="161" spans="21:27" x14ac:dyDescent="0.25">
      <c r="U161" s="12" t="str">
        <f t="array" ref="U161">IFERROR(INDEX($B$4:$B$145,                                    SMALL(IF((LEN($B$4:$B$145)&lt;&gt;0),ROW($B$4:$B$145)-ROW($B$3),"0"),ROW(B108)-ROW($B$3))                             ),"0")</f>
        <v>0</v>
      </c>
      <c r="V161" s="12" t="str">
        <f t="array" ref="V161">IFERROR(INDEX($A$4:$A$145,MATCH(0,COUNTIF($V$3:V160,$A$4:$A$145),0)),"0")</f>
        <v>0</v>
      </c>
      <c r="W161" s="13">
        <v>1</v>
      </c>
      <c r="X161" s="13">
        <f t="shared" si="13"/>
        <v>0</v>
      </c>
      <c r="Y161" s="13">
        <f t="shared" si="14"/>
        <v>0</v>
      </c>
      <c r="Z161" s="13"/>
      <c r="AA161" s="13"/>
    </row>
    <row r="162" spans="21:27" x14ac:dyDescent="0.25">
      <c r="U162" s="12" t="str">
        <f t="array" ref="U162">IFERROR(INDEX($B$4:$B$145,                                    SMALL(IF((LEN($B$4:$B$145)&lt;&gt;0),ROW($B$4:$B$145)-ROW($B$3),"0"),ROW(B109)-ROW($B$3))                             ),"0")</f>
        <v>0</v>
      </c>
      <c r="V162" s="12" t="str">
        <f t="array" ref="V162">IFERROR(INDEX($A$4:$A$145,MATCH(0,COUNTIF($V$3:V161,$A$4:$A$145),0)),"0")</f>
        <v>0</v>
      </c>
      <c r="W162" s="13">
        <v>1</v>
      </c>
      <c r="X162" s="13">
        <f t="shared" si="13"/>
        <v>0</v>
      </c>
      <c r="Y162" s="13">
        <f t="shared" si="14"/>
        <v>0</v>
      </c>
      <c r="Z162" s="13"/>
      <c r="AA162" s="13"/>
    </row>
    <row r="163" spans="21:27" x14ac:dyDescent="0.25">
      <c r="U163" s="12" t="str">
        <f t="array" ref="U163">IFERROR(INDEX($B$4:$B$145,                                    SMALL(IF((LEN($B$4:$B$145)&lt;&gt;0),ROW($B$4:$B$145)-ROW($B$3),"0"),ROW(B110)-ROW($B$3))                             ),"0")</f>
        <v>0</v>
      </c>
      <c r="V163" s="12" t="str">
        <f t="array" ref="V163">IFERROR(INDEX($A$4:$A$145,MATCH(0,COUNTIF($V$3:V162,$A$4:$A$145),0)),"0")</f>
        <v>0</v>
      </c>
      <c r="W163" s="13">
        <v>1</v>
      </c>
      <c r="X163" s="13">
        <f t="shared" si="13"/>
        <v>0</v>
      </c>
      <c r="Y163" s="13">
        <f t="shared" si="14"/>
        <v>0</v>
      </c>
      <c r="Z163" s="13"/>
      <c r="AA163" s="13"/>
    </row>
    <row r="164" spans="21:27" x14ac:dyDescent="0.25">
      <c r="U164" s="12" t="str">
        <f t="array" ref="U164">IFERROR(INDEX($B$4:$B$145,                                    SMALL(IF((LEN($B$4:$B$145)&lt;&gt;0),ROW($B$4:$B$145)-ROW($B$3),"0"),ROW(B111)-ROW($B$3))                             ),"0")</f>
        <v>0</v>
      </c>
      <c r="V164" s="12" t="str">
        <f t="array" ref="V164">IFERROR(INDEX($A$4:$A$145,MATCH(0,COUNTIF($V$3:V163,$A$4:$A$145),0)),"0")</f>
        <v>0</v>
      </c>
      <c r="W164" s="13">
        <v>1</v>
      </c>
      <c r="X164" s="13">
        <f t="shared" si="13"/>
        <v>0</v>
      </c>
      <c r="Y164" s="13">
        <f t="shared" si="14"/>
        <v>0</v>
      </c>
      <c r="Z164" s="13"/>
      <c r="AA164" s="13"/>
    </row>
    <row r="165" spans="21:27" x14ac:dyDescent="0.25">
      <c r="U165" s="12" t="str">
        <f t="array" ref="U165">IFERROR(INDEX($B$4:$B$145,                                    SMALL(IF((LEN($B$4:$B$145)&lt;&gt;0),ROW($B$4:$B$145)-ROW($B$3),"0"),ROW(B112)-ROW($B$3))                             ),"0")</f>
        <v>0</v>
      </c>
      <c r="V165" s="12" t="str">
        <f t="array" ref="V165">IFERROR(INDEX($A$4:$A$145,MATCH(0,COUNTIF($V$3:V164,$A$4:$A$145),0)),"0")</f>
        <v>0</v>
      </c>
      <c r="W165" s="13">
        <v>1</v>
      </c>
      <c r="X165" s="13">
        <f t="shared" si="13"/>
        <v>0</v>
      </c>
      <c r="Y165" s="13">
        <f t="shared" si="14"/>
        <v>0</v>
      </c>
      <c r="Z165" s="13"/>
      <c r="AA165" s="13"/>
    </row>
    <row r="166" spans="21:27" x14ac:dyDescent="0.25">
      <c r="U166" s="12" t="str">
        <f t="array" ref="U166">IFERROR(INDEX($B$4:$B$145,                                    SMALL(IF((LEN($B$4:$B$145)&lt;&gt;0),ROW($B$4:$B$145)-ROW($B$3),"0"),ROW(B113)-ROW($B$3))                             ),"0")</f>
        <v>0</v>
      </c>
      <c r="V166" s="12" t="str">
        <f t="array" ref="V166">IFERROR(INDEX($A$4:$A$145,MATCH(0,COUNTIF($V$3:V165,$A$4:$A$145),0)),"0")</f>
        <v>0</v>
      </c>
      <c r="W166" s="13">
        <v>1</v>
      </c>
      <c r="X166" s="13">
        <f t="shared" si="13"/>
        <v>0</v>
      </c>
      <c r="Y166" s="13">
        <f t="shared" si="14"/>
        <v>0</v>
      </c>
      <c r="Z166" s="13"/>
      <c r="AA166" s="13"/>
    </row>
    <row r="167" spans="21:27" x14ac:dyDescent="0.25">
      <c r="U167" s="12" t="str">
        <f t="array" ref="U167">IFERROR(INDEX($B$4:$B$145,                                    SMALL(IF((LEN($B$4:$B$145)&lt;&gt;0),ROW($B$4:$B$145)-ROW($B$3),"0"),ROW(B114)-ROW($B$3))                             ),"0")</f>
        <v>0</v>
      </c>
      <c r="V167" s="12" t="str">
        <f t="array" ref="V167">IFERROR(INDEX($A$4:$A$145,MATCH(0,COUNTIF($V$3:V166,$A$4:$A$145),0)),"0")</f>
        <v>0</v>
      </c>
      <c r="W167" s="13">
        <v>1</v>
      </c>
      <c r="X167" s="13">
        <f t="shared" si="13"/>
        <v>0</v>
      </c>
      <c r="Y167" s="13">
        <f t="shared" si="14"/>
        <v>0</v>
      </c>
      <c r="Z167" s="13"/>
      <c r="AA167" s="13"/>
    </row>
    <row r="168" spans="21:27" x14ac:dyDescent="0.25">
      <c r="U168" s="12" t="str">
        <f t="array" ref="U168">IFERROR(INDEX($B$4:$B$145,                                    SMALL(IF((LEN($B$4:$B$145)&lt;&gt;0),ROW($B$4:$B$145)-ROW($B$3),"0"),ROW(B115)-ROW($B$3))                             ),"0")</f>
        <v>0</v>
      </c>
      <c r="V168" s="12" t="str">
        <f t="array" ref="V168">IFERROR(INDEX($A$4:$A$145,MATCH(0,COUNTIF($V$3:V167,$A$4:$A$145),0)),"0")</f>
        <v>0</v>
      </c>
      <c r="W168" s="13">
        <v>1</v>
      </c>
      <c r="X168" s="13">
        <f t="shared" si="13"/>
        <v>0</v>
      </c>
      <c r="Y168" s="13">
        <f t="shared" si="14"/>
        <v>0</v>
      </c>
      <c r="Z168" s="13"/>
      <c r="AA168" s="13"/>
    </row>
    <row r="169" spans="21:27" x14ac:dyDescent="0.25">
      <c r="U169" s="12" t="str">
        <f t="array" ref="U169">IFERROR(INDEX($B$4:$B$145,                                    SMALL(IF((LEN($B$4:$B$145)&lt;&gt;0),ROW($B$4:$B$145)-ROW($B$3),"0"),ROW(B116)-ROW($B$3))                             ),"0")</f>
        <v>0</v>
      </c>
      <c r="V169" s="12" t="str">
        <f t="array" ref="V169">IFERROR(INDEX($A$4:$A$145,MATCH(0,COUNTIF($V$3:V168,$A$4:$A$145),0)),"0")</f>
        <v>0</v>
      </c>
      <c r="W169" s="13">
        <v>1</v>
      </c>
      <c r="X169" s="13">
        <f t="shared" si="13"/>
        <v>0</v>
      </c>
      <c r="Y169" s="13">
        <f t="shared" si="14"/>
        <v>0</v>
      </c>
      <c r="Z169" s="13"/>
      <c r="AA169" s="13"/>
    </row>
    <row r="170" spans="21:27" x14ac:dyDescent="0.25">
      <c r="U170" s="12" t="str">
        <f t="array" ref="U170">IFERROR(INDEX($B$4:$B$145,                                    SMALL(IF((LEN($B$4:$B$145)&lt;&gt;0),ROW($B$4:$B$145)-ROW($B$3),"0"),ROW(B117)-ROW($B$3))                             ),"0")</f>
        <v>0</v>
      </c>
      <c r="V170" s="12" t="str">
        <f t="array" ref="V170">IFERROR(INDEX($A$4:$A$145,MATCH(0,COUNTIF($V$3:V169,$A$4:$A$145),0)),"0")</f>
        <v>0</v>
      </c>
      <c r="W170" s="13">
        <v>1</v>
      </c>
      <c r="X170" s="13">
        <f t="shared" si="13"/>
        <v>0</v>
      </c>
      <c r="Y170" s="13">
        <f t="shared" si="14"/>
        <v>0</v>
      </c>
      <c r="Z170" s="13"/>
      <c r="AA170" s="13"/>
    </row>
    <row r="171" spans="21:27" x14ac:dyDescent="0.25">
      <c r="U171" s="12" t="str">
        <f t="array" ref="U171">IFERROR(INDEX($B$4:$B$145,                                    SMALL(IF((LEN($B$4:$B$145)&lt;&gt;0),ROW($B$4:$B$145)-ROW($B$3),"0"),ROW(B118)-ROW($B$3))                             ),"0")</f>
        <v>0</v>
      </c>
      <c r="V171" s="12" t="str">
        <f t="array" ref="V171">IFERROR(INDEX($A$4:$A$145,MATCH(0,COUNTIF($V$3:V170,$A$4:$A$145),0)),"0")</f>
        <v>0</v>
      </c>
      <c r="W171" s="13">
        <v>1</v>
      </c>
      <c r="X171" s="13">
        <f t="shared" si="13"/>
        <v>0</v>
      </c>
      <c r="Y171" s="13">
        <f t="shared" si="14"/>
        <v>0</v>
      </c>
      <c r="Z171" s="13"/>
      <c r="AA171" s="13"/>
    </row>
    <row r="172" spans="21:27" x14ac:dyDescent="0.25">
      <c r="U172" s="12" t="str">
        <f t="array" ref="U172">IFERROR(INDEX($B$4:$B$145,                                    SMALL(IF((LEN($B$4:$B$145)&lt;&gt;0),ROW($B$4:$B$145)-ROW($B$3),"0"),ROW(B119)-ROW($B$3))                             ),"0")</f>
        <v>0</v>
      </c>
      <c r="V172" s="12" t="str">
        <f t="array" ref="V172">IFERROR(INDEX($A$4:$A$145,MATCH(0,COUNTIF($V$3:V171,$A$4:$A$145),0)),"0")</f>
        <v>0</v>
      </c>
      <c r="W172" s="13">
        <v>1</v>
      </c>
      <c r="X172" s="13">
        <f t="shared" si="13"/>
        <v>0</v>
      </c>
      <c r="Y172" s="13">
        <f t="shared" si="14"/>
        <v>0</v>
      </c>
      <c r="Z172" s="13"/>
      <c r="AA172" s="13"/>
    </row>
    <row r="173" spans="21:27" x14ac:dyDescent="0.25">
      <c r="U173" s="12" t="str">
        <f t="array" ref="U173">IFERROR(INDEX($B$4:$B$145,                                    SMALL(IF((LEN($B$4:$B$145)&lt;&gt;0),ROW($B$4:$B$145)-ROW($B$3),"0"),ROW(B120)-ROW($B$3))                             ),"0")</f>
        <v>0</v>
      </c>
      <c r="V173" s="12" t="str">
        <f t="array" ref="V173">IFERROR(INDEX($A$4:$A$145,MATCH(0,COUNTIF($V$3:V172,$A$4:$A$145),0)),"0")</f>
        <v>0</v>
      </c>
      <c r="W173" s="13">
        <v>1</v>
      </c>
      <c r="X173" s="13">
        <f t="shared" si="13"/>
        <v>0</v>
      </c>
      <c r="Y173" s="13">
        <f t="shared" si="14"/>
        <v>0</v>
      </c>
      <c r="Z173" s="13"/>
      <c r="AA173" s="13"/>
    </row>
    <row r="174" spans="21:27" x14ac:dyDescent="0.25">
      <c r="U174" s="12" t="str">
        <f t="array" ref="U174">IFERROR(INDEX($B$4:$B$145,                                    SMALL(IF((LEN($B$4:$B$145)&lt;&gt;0),ROW($B$4:$B$145)-ROW($B$3),"0"),ROW(B121)-ROW($B$3))                             ),"0")</f>
        <v>0</v>
      </c>
      <c r="V174" s="12" t="str">
        <f t="array" ref="V174">IFERROR(INDEX($A$4:$A$145,MATCH(0,COUNTIF($V$3:V173,$A$4:$A$145),0)),"0")</f>
        <v>0</v>
      </c>
      <c r="W174" s="13">
        <v>1</v>
      </c>
      <c r="X174" s="13">
        <f t="shared" si="13"/>
        <v>0</v>
      </c>
      <c r="Y174" s="13">
        <f t="shared" si="14"/>
        <v>0</v>
      </c>
      <c r="Z174" s="13"/>
      <c r="AA174" s="13"/>
    </row>
    <row r="175" spans="21:27" x14ac:dyDescent="0.25">
      <c r="U175" s="12" t="str">
        <f t="array" ref="U175">IFERROR(INDEX($B$4:$B$145,                                    SMALL(IF((LEN($B$4:$B$145)&lt;&gt;0),ROW($B$4:$B$145)-ROW($B$3),"0"),ROW(B122)-ROW($B$3))                             ),"0")</f>
        <v>0</v>
      </c>
      <c r="V175" s="12" t="str">
        <f t="array" ref="V175">IFERROR(INDEX($A$4:$A$145,MATCH(0,COUNTIF($V$3:V174,$A$4:$A$145),0)),"0")</f>
        <v>0</v>
      </c>
      <c r="W175" s="13">
        <v>1</v>
      </c>
      <c r="X175" s="13">
        <f t="shared" si="13"/>
        <v>0</v>
      </c>
      <c r="Y175" s="13">
        <f t="shared" si="14"/>
        <v>0</v>
      </c>
      <c r="Z175" s="13"/>
      <c r="AA175" s="13"/>
    </row>
    <row r="176" spans="21:27" x14ac:dyDescent="0.25">
      <c r="U176" s="12" t="str">
        <f t="array" ref="U176">IFERROR(INDEX($B$4:$B$145,                                    SMALL(IF((LEN($B$4:$B$145)&lt;&gt;0),ROW($B$4:$B$145)-ROW($B$3),"0"),ROW(B123)-ROW($B$3))                             ),"0")</f>
        <v>0</v>
      </c>
      <c r="V176" s="12" t="str">
        <f t="array" ref="V176">IFERROR(INDEX($A$4:$A$145,MATCH(0,COUNTIF($V$3:V175,$A$4:$A$145),0)),"0")</f>
        <v>0</v>
      </c>
      <c r="W176" s="13">
        <v>1</v>
      </c>
      <c r="X176" s="13">
        <f t="shared" si="13"/>
        <v>0</v>
      </c>
      <c r="Y176" s="13">
        <f t="shared" si="14"/>
        <v>0</v>
      </c>
      <c r="Z176" s="13"/>
      <c r="AA176" s="13"/>
    </row>
    <row r="177" spans="21:27" x14ac:dyDescent="0.25">
      <c r="U177" s="12" t="str">
        <f t="array" ref="U177">IFERROR(INDEX($B$4:$B$145,                                    SMALL(IF((LEN($B$4:$B$145)&lt;&gt;0),ROW($B$4:$B$145)-ROW($B$3),"0"),ROW(B124)-ROW($B$3))                             ),"0")</f>
        <v>0</v>
      </c>
      <c r="V177" s="12" t="str">
        <f t="array" ref="V177">IFERROR(INDEX($A$4:$A$145,MATCH(0,COUNTIF($V$3:V176,$A$4:$A$145),0)),"0")</f>
        <v>0</v>
      </c>
      <c r="W177" s="13">
        <v>1</v>
      </c>
      <c r="X177" s="13">
        <f t="shared" si="13"/>
        <v>0</v>
      </c>
      <c r="Y177" s="13">
        <f t="shared" si="14"/>
        <v>0</v>
      </c>
      <c r="Z177" s="13"/>
      <c r="AA177" s="13"/>
    </row>
    <row r="178" spans="21:27" x14ac:dyDescent="0.25">
      <c r="U178" s="12" t="str">
        <f t="array" ref="U178">IFERROR(INDEX($B$4:$B$145,                                    SMALL(IF((LEN($B$4:$B$145)&lt;&gt;0),ROW($B$4:$B$145)-ROW($B$3),"0"),ROW(B125)-ROW($B$3))                             ),"0")</f>
        <v>0</v>
      </c>
      <c r="V178" s="12" t="str">
        <f t="array" ref="V178">IFERROR(INDEX($A$4:$A$145,MATCH(0,COUNTIF($V$3:V177,$A$4:$A$145),0)),"0")</f>
        <v>0</v>
      </c>
      <c r="W178" s="13">
        <v>1</v>
      </c>
      <c r="X178" s="13">
        <f t="shared" si="13"/>
        <v>0</v>
      </c>
      <c r="Y178" s="13">
        <f t="shared" si="14"/>
        <v>0</v>
      </c>
      <c r="Z178" s="13"/>
      <c r="AA178" s="13"/>
    </row>
    <row r="179" spans="21:27" x14ac:dyDescent="0.25">
      <c r="U179" s="12" t="str">
        <f t="array" ref="U179">IFERROR(INDEX($B$4:$B$145,                                    SMALL(IF((LEN($B$4:$B$145)&lt;&gt;0),ROW($B$4:$B$145)-ROW($B$3),"0"),ROW(B126)-ROW($B$3))                             ),"0")</f>
        <v>0</v>
      </c>
      <c r="V179" s="12" t="str">
        <f t="array" ref="V179">IFERROR(INDEX($A$4:$A$145,MATCH(0,COUNTIF($V$3:V178,$A$4:$A$145),0)),"0")</f>
        <v>0</v>
      </c>
      <c r="W179" s="13">
        <v>1</v>
      </c>
      <c r="X179" s="13">
        <f t="shared" si="13"/>
        <v>0</v>
      </c>
      <c r="Y179" s="13">
        <f t="shared" si="14"/>
        <v>0</v>
      </c>
      <c r="Z179" s="13"/>
      <c r="AA179" s="13"/>
    </row>
    <row r="180" spans="21:27" x14ac:dyDescent="0.25">
      <c r="U180" s="12" t="str">
        <f t="array" ref="U180">IFERROR(INDEX($B$4:$B$145,                                    SMALL(IF((LEN($B$4:$B$145)&lt;&gt;0),ROW($B$4:$B$145)-ROW($B$3),"0"),ROW(B127)-ROW($B$3))                             ),"0")</f>
        <v>0</v>
      </c>
      <c r="V180" s="12" t="str">
        <f t="array" ref="V180">IFERROR(INDEX($A$4:$A$145,MATCH(0,COUNTIF($V$3:V179,$A$4:$A$145),0)),"0")</f>
        <v>0</v>
      </c>
      <c r="W180" s="13">
        <v>1</v>
      </c>
      <c r="X180" s="13">
        <f t="shared" si="13"/>
        <v>0</v>
      </c>
      <c r="Y180" s="13">
        <f t="shared" si="14"/>
        <v>0</v>
      </c>
      <c r="Z180" s="13"/>
      <c r="AA180" s="13"/>
    </row>
    <row r="181" spans="21:27" x14ac:dyDescent="0.25">
      <c r="U181" s="12" t="str">
        <f t="array" ref="U181">IFERROR(INDEX($B$4:$B$145,                                    SMALL(IF((LEN($B$4:$B$145)&lt;&gt;0),ROW($B$4:$B$145)-ROW($B$3),"0"),ROW(B128)-ROW($B$3))                             ),"0")</f>
        <v>0</v>
      </c>
      <c r="V181" s="12" t="str">
        <f t="array" ref="V181">IFERROR(INDEX($A$4:$A$145,MATCH(0,COUNTIF($V$3:V180,$A$4:$A$145),0)),"0")</f>
        <v>0</v>
      </c>
      <c r="W181" s="13">
        <v>1</v>
      </c>
      <c r="X181" s="13">
        <f t="shared" si="13"/>
        <v>0</v>
      </c>
      <c r="Y181" s="13">
        <f t="shared" si="14"/>
        <v>0</v>
      </c>
      <c r="Z181" s="13"/>
      <c r="AA181" s="13"/>
    </row>
    <row r="182" spans="21:27" x14ac:dyDescent="0.25">
      <c r="U182" s="12" t="str">
        <f t="array" ref="U182">IFERROR(INDEX($B$4:$B$145,                                    SMALL(IF((LEN($B$4:$B$145)&lt;&gt;0),ROW($B$4:$B$145)-ROW($B$3),"0"),ROW(B129)-ROW($B$3))                             ),"0")</f>
        <v>0</v>
      </c>
      <c r="V182" s="12" t="str">
        <f t="array" ref="V182">IFERROR(INDEX($A$4:$A$145,MATCH(0,COUNTIF($V$3:V181,$A$4:$A$145),0)),"0")</f>
        <v>0</v>
      </c>
      <c r="W182" s="13">
        <v>1</v>
      </c>
      <c r="X182" s="13">
        <f t="shared" si="13"/>
        <v>0</v>
      </c>
      <c r="Y182" s="13">
        <f t="shared" si="14"/>
        <v>0</v>
      </c>
      <c r="Z182" s="13"/>
      <c r="AA182" s="13"/>
    </row>
    <row r="183" spans="21:27" x14ac:dyDescent="0.25">
      <c r="U183" s="12" t="str">
        <f t="array" ref="U183">IFERROR(INDEX($B$4:$B$145,                                    SMALL(IF((LEN($B$4:$B$145)&lt;&gt;0),ROW($B$4:$B$145)-ROW($B$3),"0"),ROW(B130)-ROW($B$3))                             ),"0")</f>
        <v>0</v>
      </c>
      <c r="V183" s="12" t="str">
        <f t="array" ref="V183">IFERROR(INDEX($A$4:$A$145,MATCH(0,COUNTIF($V$3:V182,$A$4:$A$145),0)),"0")</f>
        <v>0</v>
      </c>
      <c r="W183" s="13">
        <v>1</v>
      </c>
      <c r="X183" s="13">
        <f t="shared" si="13"/>
        <v>0</v>
      </c>
      <c r="Y183" s="13">
        <f t="shared" si="14"/>
        <v>0</v>
      </c>
      <c r="Z183" s="13"/>
      <c r="AA183" s="13"/>
    </row>
    <row r="184" spans="21:27" x14ac:dyDescent="0.25">
      <c r="U184" s="12" t="str">
        <f t="array" ref="U184">IFERROR(INDEX($B$4:$B$145,                                    SMALL(IF((LEN($B$4:$B$145)&lt;&gt;0),ROW($B$4:$B$145)-ROW($B$3),"0"),ROW(B131)-ROW($B$3))                             ),"0")</f>
        <v>0</v>
      </c>
      <c r="V184" s="12" t="str">
        <f t="array" ref="V184">IFERROR(INDEX($A$4:$A$145,MATCH(0,COUNTIF($V$3:V183,$A$4:$A$145),0)),"0")</f>
        <v>0</v>
      </c>
      <c r="W184" s="13">
        <v>1</v>
      </c>
      <c r="X184" s="13">
        <f t="shared" si="13"/>
        <v>0</v>
      </c>
      <c r="Y184" s="13">
        <f t="shared" si="14"/>
        <v>0</v>
      </c>
      <c r="Z184" s="13"/>
      <c r="AA184" s="13"/>
    </row>
    <row r="185" spans="21:27" x14ac:dyDescent="0.25">
      <c r="U185" s="12" t="str">
        <f t="array" ref="U185">IFERROR(INDEX($B$4:$B$145,                                    SMALL(IF((LEN($B$4:$B$145)&lt;&gt;0),ROW($B$4:$B$145)-ROW($B$3),"0"),ROW(B132)-ROW($B$3))                             ),"0")</f>
        <v>0</v>
      </c>
      <c r="V185" s="12" t="str">
        <f t="array" ref="V185">IFERROR(INDEX($A$4:$A$145,MATCH(0,COUNTIF($V$3:V184,$A$4:$A$145),0)),"0")</f>
        <v>0</v>
      </c>
      <c r="W185" s="13">
        <v>1</v>
      </c>
      <c r="X185" s="13">
        <f t="shared" si="13"/>
        <v>0</v>
      </c>
      <c r="Y185" s="13">
        <f t="shared" si="14"/>
        <v>0</v>
      </c>
      <c r="Z185" s="13"/>
      <c r="AA185" s="13"/>
    </row>
    <row r="186" spans="21:27" x14ac:dyDescent="0.25">
      <c r="U186" s="12" t="str">
        <f t="array" ref="U186">IFERROR(INDEX($B$4:$B$145,                                    SMALL(IF((LEN($B$4:$B$145)&lt;&gt;0),ROW($B$4:$B$145)-ROW($B$3),"0"),ROW(B133)-ROW($B$3))                             ),"0")</f>
        <v>0</v>
      </c>
      <c r="V186" s="12" t="str">
        <f t="array" ref="V186">IFERROR(INDEX($A$4:$A$145,MATCH(0,COUNTIF($V$3:V185,$A$4:$A$145),0)),"0")</f>
        <v>0</v>
      </c>
      <c r="W186" s="13">
        <v>1</v>
      </c>
      <c r="X186" s="13">
        <f t="shared" si="13"/>
        <v>0</v>
      </c>
      <c r="Y186" s="13">
        <f t="shared" si="14"/>
        <v>0</v>
      </c>
      <c r="Z186" s="13"/>
      <c r="AA186" s="13"/>
    </row>
    <row r="187" spans="21:27" x14ac:dyDescent="0.25">
      <c r="U187" s="12" t="str">
        <f t="array" ref="U187">IFERROR(INDEX($B$4:$B$145,                                    SMALL(IF((LEN($B$4:$B$145)&lt;&gt;0),ROW($B$4:$B$145)-ROW($B$3),"0"),ROW(B134)-ROW($B$3))                             ),"0")</f>
        <v>0</v>
      </c>
      <c r="V187" s="12" t="str">
        <f t="array" ref="V187">IFERROR(INDEX($A$4:$A$145,MATCH(0,COUNTIF($V$3:V186,$A$4:$A$145),0)),"0")</f>
        <v>0</v>
      </c>
      <c r="W187" s="13">
        <v>1</v>
      </c>
      <c r="X187" s="13">
        <f t="shared" si="13"/>
        <v>0</v>
      </c>
      <c r="Y187" s="13">
        <f t="shared" si="14"/>
        <v>0</v>
      </c>
      <c r="Z187" s="13"/>
      <c r="AA187" s="13"/>
    </row>
    <row r="188" spans="21:27" x14ac:dyDescent="0.25">
      <c r="U188" s="12" t="str">
        <f t="array" ref="U188">IFERROR(INDEX($B$4:$B$145,                                    SMALL(IF((LEN($B$4:$B$145)&lt;&gt;0),ROW($B$4:$B$145)-ROW($B$3),"0"),ROW(B135)-ROW($B$3))                             ),"0")</f>
        <v>0</v>
      </c>
      <c r="V188" s="12" t="str">
        <f t="array" ref="V188">IFERROR(INDEX($A$4:$A$145,MATCH(0,COUNTIF($V$3:V187,$A$4:$A$145),0)),"0")</f>
        <v>0</v>
      </c>
      <c r="W188" s="13">
        <v>1</v>
      </c>
      <c r="X188" s="13">
        <f t="shared" si="13"/>
        <v>0</v>
      </c>
      <c r="Y188" s="13">
        <f t="shared" si="14"/>
        <v>0</v>
      </c>
      <c r="Z188" s="13"/>
      <c r="AA188" s="13"/>
    </row>
    <row r="189" spans="21:27" x14ac:dyDescent="0.25">
      <c r="U189" s="12" t="str">
        <f t="array" ref="U189">IFERROR(INDEX($B$4:$B$145,                                    SMALL(IF((LEN($B$4:$B$145)&lt;&gt;0),ROW($B$4:$B$145)-ROW($B$3),"0"),ROW(B136)-ROW($B$3))                             ),"0")</f>
        <v>0</v>
      </c>
      <c r="V189" s="12" t="str">
        <f t="array" ref="V189">IFERROR(INDEX($A$4:$A$145,MATCH(0,COUNTIF($V$3:V188,$A$4:$A$145),0)),"0")</f>
        <v>0</v>
      </c>
      <c r="W189" s="13">
        <v>1</v>
      </c>
      <c r="X189" s="13">
        <f t="shared" si="13"/>
        <v>0</v>
      </c>
      <c r="Y189" s="13">
        <f t="shared" si="14"/>
        <v>0</v>
      </c>
      <c r="Z189" s="13"/>
      <c r="AA189" s="13"/>
    </row>
    <row r="190" spans="21:27" x14ac:dyDescent="0.25">
      <c r="U190" s="12" t="str">
        <f t="array" ref="U190">IFERROR(INDEX($B$4:$B$145,                                    SMALL(IF((LEN($B$4:$B$145)&lt;&gt;0),ROW($B$4:$B$145)-ROW($B$3),"0"),ROW(B137)-ROW($B$3))                             ),"0")</f>
        <v>0</v>
      </c>
      <c r="V190" s="12" t="str">
        <f t="array" ref="V190">IFERROR(INDEX($A$4:$A$145,MATCH(0,COUNTIF($V$3:V189,$A$4:$A$145),0)),"0")</f>
        <v>0</v>
      </c>
      <c r="W190" s="13">
        <v>1</v>
      </c>
      <c r="X190" s="13">
        <f t="shared" si="13"/>
        <v>0</v>
      </c>
      <c r="Y190" s="13">
        <f t="shared" si="14"/>
        <v>0</v>
      </c>
      <c r="Z190" s="13"/>
      <c r="AA190" s="13"/>
    </row>
    <row r="191" spans="21:27" x14ac:dyDescent="0.25">
      <c r="U191" s="12" t="str">
        <f t="array" ref="U191">IFERROR(INDEX($B$4:$B$145,                                    SMALL(IF((LEN($B$4:$B$145)&lt;&gt;0),ROW($B$4:$B$145)-ROW($B$3),"0"),ROW(B138)-ROW($B$3))                             ),"0")</f>
        <v>0</v>
      </c>
      <c r="V191" s="12" t="str">
        <f t="array" ref="V191">IFERROR(INDEX($A$4:$A$145,MATCH(0,COUNTIF($V$3:V190,$A$4:$A$145),0)),"0")</f>
        <v>0</v>
      </c>
      <c r="W191" s="13">
        <v>1</v>
      </c>
      <c r="X191" s="13">
        <f t="shared" si="13"/>
        <v>0</v>
      </c>
      <c r="Y191" s="13">
        <f t="shared" si="14"/>
        <v>0</v>
      </c>
      <c r="Z191" s="13"/>
      <c r="AA191" s="13"/>
    </row>
    <row r="192" spans="21:27" x14ac:dyDescent="0.25">
      <c r="U192" s="12" t="str">
        <f t="array" ref="U192">IFERROR(INDEX($B$4:$B$145,                                    SMALL(IF((LEN($B$4:$B$145)&lt;&gt;0),ROW($B$4:$B$145)-ROW($B$3),"0"),ROW(B139)-ROW($B$3))                             ),"0")</f>
        <v>0</v>
      </c>
      <c r="V192" s="12" t="str">
        <f t="array" ref="V192">IFERROR(INDEX($A$4:$A$145,MATCH(0,COUNTIF($V$3:V191,$A$4:$A$145),0)),"0")</f>
        <v>0</v>
      </c>
      <c r="W192" s="13">
        <v>1</v>
      </c>
      <c r="X192" s="13">
        <f t="shared" si="13"/>
        <v>0</v>
      </c>
      <c r="Y192" s="13">
        <f t="shared" si="14"/>
        <v>0</v>
      </c>
      <c r="Z192" s="13"/>
      <c r="AA192" s="13"/>
    </row>
    <row r="193" spans="21:27" x14ac:dyDescent="0.25">
      <c r="U193" s="12" t="str">
        <f t="array" ref="U193">IFERROR(INDEX($B$4:$B$145,                                    SMALL(IF((LEN($B$4:$B$145)&lt;&gt;0),ROW($B$4:$B$145)-ROW($B$3),"0"),ROW(B140)-ROW($B$3))                             ),"0")</f>
        <v>0</v>
      </c>
      <c r="V193" s="12" t="str">
        <f t="array" ref="V193">IFERROR(INDEX($A$4:$A$145,MATCH(0,COUNTIF($V$3:V192,$A$4:$A$145),0)),"0")</f>
        <v>0</v>
      </c>
      <c r="W193" s="13">
        <v>1</v>
      </c>
      <c r="X193" s="13">
        <f t="shared" si="13"/>
        <v>0</v>
      </c>
      <c r="Y193" s="13">
        <f t="shared" si="14"/>
        <v>0</v>
      </c>
      <c r="Z193" s="13"/>
      <c r="AA193" s="13"/>
    </row>
    <row r="194" spans="21:27" x14ac:dyDescent="0.25">
      <c r="U194" s="12" t="str">
        <f t="array" ref="U194">IFERROR(INDEX($B$4:$B$145,                                    SMALL(IF((LEN($B$4:$B$145)&lt;&gt;0),ROW($B$4:$B$145)-ROW($B$3),"0"),ROW(B141)-ROW($B$3))                             ),"0")</f>
        <v>0</v>
      </c>
      <c r="V194" s="12" t="str">
        <f t="array" ref="V194">IFERROR(INDEX($A$4:$A$145,MATCH(0,COUNTIF($V$3:V193,$A$4:$A$145),0)),"0")</f>
        <v>0</v>
      </c>
      <c r="W194" s="13">
        <v>1</v>
      </c>
      <c r="X194" s="13">
        <f t="shared" ref="X194:X198" si="15">U194*W194</f>
        <v>0</v>
      </c>
      <c r="Y194" s="13">
        <f t="shared" ref="Y194:Y198" si="16">W194*V194</f>
        <v>0</v>
      </c>
      <c r="Z194" s="13"/>
      <c r="AA194" s="13"/>
    </row>
    <row r="195" spans="21:27" x14ac:dyDescent="0.25">
      <c r="U195" s="12" t="str">
        <f t="array" ref="U195">IFERROR(INDEX($B$4:$B$145,                                    SMALL(IF((LEN($B$4:$B$145)&lt;&gt;0),ROW($B$4:$B$145)-ROW($B$3),"0"),ROW(B142)-ROW($B$3))                             ),"0")</f>
        <v>0</v>
      </c>
      <c r="V195" s="12" t="str">
        <f t="array" ref="V195">IFERROR(INDEX($A$4:$A$145,MATCH(0,COUNTIF($V$3:V194,$A$4:$A$145),0)),"0")</f>
        <v>0</v>
      </c>
      <c r="W195" s="13">
        <v>1</v>
      </c>
      <c r="X195" s="13">
        <f t="shared" si="15"/>
        <v>0</v>
      </c>
      <c r="Y195" s="13">
        <f t="shared" si="16"/>
        <v>0</v>
      </c>
      <c r="Z195" s="13"/>
      <c r="AA195" s="13"/>
    </row>
    <row r="196" spans="21:27" x14ac:dyDescent="0.25">
      <c r="U196" s="12" t="str">
        <f t="array" ref="U196">IFERROR(INDEX($B$4:$B$145,                                    SMALL(IF((LEN($B$4:$B$145)&lt;&gt;0),ROW($B$4:$B$145)-ROW($B$3),"0"),ROW(B143)-ROW($B$3))                             ),"0")</f>
        <v>0</v>
      </c>
      <c r="V196" s="12" t="str">
        <f t="array" ref="V196">IFERROR(INDEX($A$4:$A$145,MATCH(0,COUNTIF($V$3:V195,$A$4:$A$145),0)),"0")</f>
        <v>0</v>
      </c>
      <c r="W196" s="13">
        <v>1</v>
      </c>
      <c r="X196" s="13">
        <f t="shared" si="15"/>
        <v>0</v>
      </c>
      <c r="Y196" s="13">
        <f t="shared" si="16"/>
        <v>0</v>
      </c>
      <c r="Z196" s="13"/>
      <c r="AA196" s="13"/>
    </row>
    <row r="197" spans="21:27" x14ac:dyDescent="0.25">
      <c r="U197" s="12" t="str">
        <f t="array" ref="U197">IFERROR(INDEX($B$4:$B$145,                                    SMALL(IF((LEN($B$4:$B$145)&lt;&gt;0),ROW($B$4:$B$145)-ROW($B$3),"0"),ROW(B144)-ROW($B$3))                             ),"0")</f>
        <v>0</v>
      </c>
      <c r="V197" s="12" t="str">
        <f t="array" ref="V197">IFERROR(INDEX($A$4:$A$145,MATCH(0,COUNTIF($V$3:V196,$A$4:$A$145),0)),"0")</f>
        <v>0</v>
      </c>
      <c r="W197" s="13">
        <v>1</v>
      </c>
      <c r="X197" s="13">
        <f t="shared" si="15"/>
        <v>0</v>
      </c>
      <c r="Y197" s="13">
        <f t="shared" si="16"/>
        <v>0</v>
      </c>
      <c r="Z197" s="13"/>
      <c r="AA197" s="13"/>
    </row>
    <row r="198" spans="21:27" x14ac:dyDescent="0.25">
      <c r="U198" s="12" t="str">
        <f t="array" ref="U198">IFERROR(INDEX($B$4:$B$145,                                    SMALL(IF((LEN($B$4:$B$145)&lt;&gt;0),ROW($B$4:$B$145)-ROW($B$3),"0"),ROW(B145)-ROW($B$3))                             ),"0")</f>
        <v>0</v>
      </c>
      <c r="V198" s="12" t="str">
        <f t="array" ref="V198">IFERROR(INDEX($A$4:$A$145,MATCH(0,COUNTIF($V$3:V197,$A$4:$A$145),0)),"0")</f>
        <v>0</v>
      </c>
      <c r="W198" s="13">
        <v>1</v>
      </c>
      <c r="X198" s="13">
        <f t="shared" si="15"/>
        <v>0</v>
      </c>
      <c r="Y198" s="13">
        <f t="shared" si="16"/>
        <v>0</v>
      </c>
      <c r="Z198" s="13"/>
      <c r="AA198" s="13"/>
    </row>
    <row r="199" spans="21:27" collapsed="1" x14ac:dyDescent="0.25"/>
  </sheetData>
  <sortState xmlns:xlrd2="http://schemas.microsoft.com/office/spreadsheetml/2017/richdata2" ref="A4:C27">
    <sortCondition ref="A4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D649-D99C-4E77-9F68-383A9BAD9498}">
  <dimension ref="A1:KI25"/>
  <sheetViews>
    <sheetView topLeftCell="D1" workbookViewId="0">
      <pane ySplit="1" topLeftCell="A2" activePane="bottomLeft" state="frozen"/>
      <selection activeCell="I1" sqref="I1"/>
      <selection pane="bottomLeft" activeCell="D13" sqref="D13"/>
    </sheetView>
  </sheetViews>
  <sheetFormatPr defaultColWidth="9.140625" defaultRowHeight="15" x14ac:dyDescent="0.25"/>
  <cols>
    <col min="1" max="2" width="0" style="1" hidden="1" customWidth="1"/>
    <col min="3" max="3" width="16.85546875" style="1" bestFit="1" customWidth="1"/>
    <col min="4" max="4" width="30.140625" style="1" bestFit="1" customWidth="1"/>
    <col min="5" max="5" width="28.85546875" style="1" bestFit="1" customWidth="1"/>
    <col min="6" max="6" width="29.28515625" style="1" bestFit="1" customWidth="1"/>
    <col min="7" max="7" width="17" style="1" bestFit="1" customWidth="1"/>
    <col min="8" max="8" width="27.5703125" style="1" bestFit="1" customWidth="1"/>
    <col min="9" max="9" width="30.7109375" style="1" bestFit="1" customWidth="1"/>
    <col min="10" max="11" width="33.85546875" style="1" bestFit="1" customWidth="1"/>
    <col min="12" max="12" width="29.140625" style="1" bestFit="1" customWidth="1"/>
    <col min="13" max="14" width="31" style="1" bestFit="1" customWidth="1"/>
    <col min="15" max="18" width="23" style="1" bestFit="1" customWidth="1"/>
    <col min="19" max="21" width="22.42578125" style="1" bestFit="1" customWidth="1"/>
    <col min="22" max="23" width="19.5703125" style="1" bestFit="1" customWidth="1"/>
    <col min="24" max="24" width="15.5703125" style="1" bestFit="1" customWidth="1"/>
    <col min="25" max="25" width="15.140625" style="1" bestFit="1" customWidth="1"/>
    <col min="26" max="26" width="15.5703125" style="1" bestFit="1" customWidth="1"/>
    <col min="27" max="31" width="15.140625" style="1" bestFit="1" customWidth="1"/>
    <col min="32" max="35" width="29.140625" style="1" bestFit="1" customWidth="1"/>
    <col min="36" max="37" width="14.140625" style="1" bestFit="1" customWidth="1"/>
    <col min="38" max="38" width="15.28515625" style="1" bestFit="1" customWidth="1"/>
    <col min="39" max="39" width="21.85546875" style="1" bestFit="1" customWidth="1"/>
    <col min="40" max="41" width="21.5703125" style="1" bestFit="1" customWidth="1"/>
    <col min="42" max="42" width="25.7109375" style="1" bestFit="1" customWidth="1"/>
    <col min="43" max="43" width="21.5703125" style="1" bestFit="1" customWidth="1"/>
    <col min="44" max="291" width="17.42578125" style="1" customWidth="1"/>
    <col min="292" max="16384" width="9.140625" style="1"/>
  </cols>
  <sheetData>
    <row r="1" spans="1:295" x14ac:dyDescent="0.25">
      <c r="A1"/>
      <c r="B1"/>
      <c r="C1" s="8" t="s">
        <v>18</v>
      </c>
      <c r="D1" s="44" t="s">
        <v>47</v>
      </c>
      <c r="E1" s="35"/>
      <c r="F1" s="35"/>
      <c r="G1" s="35"/>
      <c r="H1" s="35"/>
      <c r="I1" s="3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5"/>
      <c r="FA1" s="45"/>
      <c r="FB1" s="45"/>
      <c r="FC1" s="45"/>
      <c r="FD1" s="45"/>
      <c r="FE1" s="45"/>
      <c r="FF1" s="45"/>
      <c r="FG1" s="45"/>
      <c r="FH1" s="45"/>
      <c r="FI1" s="45"/>
      <c r="FJ1" s="45"/>
      <c r="FK1" s="45"/>
      <c r="FL1" s="45"/>
      <c r="FM1" s="45"/>
      <c r="FN1" s="45"/>
      <c r="FO1" s="45"/>
      <c r="FP1" s="45"/>
      <c r="FQ1" s="45"/>
      <c r="FR1" s="45"/>
      <c r="FS1" s="45"/>
      <c r="FT1" s="45"/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5"/>
      <c r="GP1" s="45"/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5"/>
      <c r="IO1" s="45"/>
      <c r="IP1" s="45"/>
      <c r="IQ1" s="45"/>
      <c r="IR1" s="45"/>
      <c r="IS1" s="45"/>
      <c r="IT1" s="45"/>
      <c r="IU1" s="45"/>
      <c r="IV1" s="45"/>
      <c r="IW1" s="45"/>
      <c r="IX1" s="45"/>
      <c r="IY1" s="45"/>
      <c r="IZ1" s="45"/>
      <c r="JA1" s="45"/>
      <c r="JB1" s="45"/>
      <c r="JC1" s="45"/>
      <c r="JD1" s="45"/>
      <c r="JE1" s="45"/>
      <c r="JF1" s="45"/>
      <c r="JG1" s="45"/>
      <c r="JH1" s="45"/>
      <c r="JI1" s="45"/>
      <c r="JJ1" s="45"/>
      <c r="JK1" s="45"/>
      <c r="JL1" s="45"/>
      <c r="JM1" s="45"/>
      <c r="JN1" s="45"/>
      <c r="JO1" s="45"/>
      <c r="JP1" s="45"/>
      <c r="JQ1" s="45"/>
      <c r="JR1" s="45"/>
      <c r="JS1" s="45"/>
      <c r="JT1" s="45"/>
      <c r="JU1" s="45"/>
      <c r="JV1" s="45"/>
      <c r="JW1" s="45"/>
      <c r="JX1" s="45"/>
      <c r="JY1" s="45"/>
      <c r="JZ1" s="45"/>
      <c r="KA1" s="45"/>
      <c r="KB1" s="45"/>
      <c r="KC1" s="45"/>
      <c r="KD1" s="45"/>
      <c r="KE1" s="45"/>
      <c r="KF1" s="45"/>
      <c r="KG1" s="45"/>
      <c r="KH1" s="45"/>
      <c r="KI1" s="45"/>
    </row>
    <row r="2" spans="1:295" x14ac:dyDescent="0.25">
      <c r="A2" t="e">
        <f ca="1">OFFSET(INDEX(Sheet1!$C$2:$C$25,MATCH(#REF!,Sheet1!$C$2:$C$25,0)),,1,1,INDEX(Sheet1!$B$2:$B$25,MATCH(#REF!,Sheet1!$C$2:$C$25,0)))</f>
        <v>#REF!</v>
      </c>
      <c r="B2">
        <f t="shared" ref="B2:B25" si="0">IF(LEN(C2)=0,"",COUNTA(D2:KI2))</f>
        <v>3</v>
      </c>
      <c r="C2" s="36" t="s">
        <v>8</v>
      </c>
      <c r="D2" s="36" t="s">
        <v>62</v>
      </c>
      <c r="E2" s="36" t="s">
        <v>63</v>
      </c>
      <c r="F2" s="36" t="s">
        <v>50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</row>
    <row r="3" spans="1:295" x14ac:dyDescent="0.25">
      <c r="A3" t="e">
        <f ca="1">OFFSET(INDEX(Sheet1!$C$2:$C$25,MATCH(B1,Sheet1!$C$2:$C$25,0)),,1,1,INDEX(Sheet1!$B$2:$B$25,MATCH(B1,Sheet1!$C$2:$C$25,0)))</f>
        <v>#N/A</v>
      </c>
      <c r="B3">
        <f t="shared" si="0"/>
        <v>3</v>
      </c>
      <c r="C3" s="36" t="s">
        <v>7</v>
      </c>
      <c r="D3" s="36" t="s">
        <v>64</v>
      </c>
      <c r="E3" s="36" t="s">
        <v>65</v>
      </c>
      <c r="F3" s="36" t="s">
        <v>50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</row>
    <row r="4" spans="1:295" x14ac:dyDescent="0.25">
      <c r="A4" t="e">
        <f ca="1">OFFSET(INDEX(Sheet1!$C$2:$C$25,MATCH(B2,Sheet1!$C$2:$C$25,0)),,1,1,INDEX(Sheet1!$B$2:$B$25,MATCH(B2,Sheet1!$C$2:$C$25,0)))</f>
        <v>#N/A</v>
      </c>
      <c r="B4">
        <f t="shared" si="0"/>
        <v>2</v>
      </c>
      <c r="C4" s="36" t="s">
        <v>9</v>
      </c>
      <c r="D4" s="36" t="s">
        <v>50</v>
      </c>
      <c r="E4" s="36" t="s">
        <v>49</v>
      </c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</row>
    <row r="5" spans="1:295" x14ac:dyDescent="0.25">
      <c r="A5" t="e">
        <f ca="1">OFFSET(INDEX(Sheet1!$C$2:$C$25,MATCH(B3,Sheet1!$C$2:$C$25,0)),,1,1,INDEX(Sheet1!$B$2:$B$25,MATCH(B3,Sheet1!$C$2:$C$25,0)))</f>
        <v>#N/A</v>
      </c>
      <c r="B5">
        <f t="shared" si="0"/>
        <v>2</v>
      </c>
      <c r="C5" s="36" t="s">
        <v>1</v>
      </c>
      <c r="D5" s="36" t="s">
        <v>48</v>
      </c>
      <c r="E5" s="36" t="s">
        <v>13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</row>
    <row r="6" spans="1:295" x14ac:dyDescent="0.25">
      <c r="A6" t="e">
        <f ca="1">OFFSET(INDEX(Sheet1!$C$2:$C$25,MATCH(B4,Sheet1!$C$2:$C$25,0)),,1,1,INDEX(Sheet1!$B$2:$B$25,MATCH(B4,Sheet1!$C$2:$C$25,0)))</f>
        <v>#N/A</v>
      </c>
      <c r="B6">
        <f t="shared" si="0"/>
        <v>2</v>
      </c>
      <c r="C6" s="36" t="s">
        <v>10</v>
      </c>
      <c r="D6" s="36" t="s">
        <v>50</v>
      </c>
      <c r="E6" s="36" t="s">
        <v>49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</row>
    <row r="7" spans="1:295" x14ac:dyDescent="0.25">
      <c r="A7" t="e">
        <f ca="1">OFFSET(INDEX(Sheet1!$C$2:$C$25,MATCH(B5,Sheet1!$C$2:$C$25,0)),,1,1,INDEX(Sheet1!$B$2:$B$25,MATCH(B5,Sheet1!$C$2:$C$25,0)))</f>
        <v>#N/A</v>
      </c>
      <c r="B7">
        <f t="shared" si="0"/>
        <v>2</v>
      </c>
      <c r="C7" s="36" t="s">
        <v>53</v>
      </c>
      <c r="D7" s="36" t="s">
        <v>49</v>
      </c>
      <c r="E7" s="36" t="s">
        <v>50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</row>
    <row r="8" spans="1:295" x14ac:dyDescent="0.25">
      <c r="A8" t="e">
        <f ca="1">OFFSET(INDEX(Sheet1!$C$2:$C$25,MATCH(B7,Sheet1!$C$2:$C$25,0)),,1,1,INDEX(Sheet1!$B$2:$B$25,MATCH(B7,Sheet1!$C$2:$C$25,0)))</f>
        <v>#N/A</v>
      </c>
      <c r="B8">
        <f t="shared" si="0"/>
        <v>2</v>
      </c>
      <c r="C8" s="36" t="s">
        <v>6</v>
      </c>
      <c r="D8" s="36" t="s">
        <v>16</v>
      </c>
      <c r="E8" s="36" t="s">
        <v>17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</row>
    <row r="9" spans="1:295" x14ac:dyDescent="0.25">
      <c r="A9" t="e">
        <f ca="1">OFFSET(INDEX(Sheet1!$C$2:$C$25,MATCH(#REF!,Sheet1!$C$2:$C$25,0)),,1,1,INDEX(Sheet1!$B$2:$B$25,MATCH(#REF!,Sheet1!$C$2:$C$25,0)))</f>
        <v>#REF!</v>
      </c>
      <c r="B9">
        <f t="shared" si="0"/>
        <v>3</v>
      </c>
      <c r="C9" s="36" t="s">
        <v>11</v>
      </c>
      <c r="D9" s="36" t="s">
        <v>51</v>
      </c>
      <c r="E9" s="36" t="s">
        <v>15</v>
      </c>
      <c r="F9" s="36" t="s">
        <v>45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</row>
    <row r="10" spans="1:295" x14ac:dyDescent="0.25">
      <c r="A10" t="e">
        <f ca="1">OFFSET(INDEX(Sheet1!$C$2:$C$25,MATCH(B8,Sheet1!$C$2:$C$25,0)),,1,1,INDEX(Sheet1!$B$2:$B$25,MATCH(B8,Sheet1!$C$2:$C$25,0)))</f>
        <v>#N/A</v>
      </c>
      <c r="B10">
        <f t="shared" si="0"/>
        <v>3</v>
      </c>
      <c r="C10" s="36" t="s">
        <v>0</v>
      </c>
      <c r="D10" s="36" t="s">
        <v>15</v>
      </c>
      <c r="E10" s="36" t="s">
        <v>70</v>
      </c>
      <c r="F10" s="36" t="s">
        <v>46</v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</row>
    <row r="11" spans="1:295" x14ac:dyDescent="0.25">
      <c r="A11" t="e">
        <f ca="1">OFFSET(INDEX(Sheet1!$C$2:$C$25,MATCH(B9,Sheet1!$C$2:$C$25,0)),,1,1,INDEX(Sheet1!$B$2:$B$25,MATCH(B9,Sheet1!$C$2:$C$25,0)))</f>
        <v>#N/A</v>
      </c>
      <c r="B11">
        <f t="shared" si="0"/>
        <v>12</v>
      </c>
      <c r="C11" s="36" t="s">
        <v>12</v>
      </c>
      <c r="D11" s="36" t="s">
        <v>69</v>
      </c>
      <c r="E11" s="36" t="s">
        <v>52</v>
      </c>
      <c r="F11" s="36" t="s">
        <v>71</v>
      </c>
      <c r="G11" s="36" t="s">
        <v>54</v>
      </c>
      <c r="H11" s="36" t="s">
        <v>57</v>
      </c>
      <c r="I11" s="36" t="s">
        <v>56</v>
      </c>
      <c r="J11" s="53" t="s">
        <v>72</v>
      </c>
      <c r="K11" s="53" t="s">
        <v>73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 t="s">
        <v>54</v>
      </c>
      <c r="AK11" s="36" t="s">
        <v>55</v>
      </c>
      <c r="AL11" s="36" t="s">
        <v>56</v>
      </c>
      <c r="AM11" s="36" t="s">
        <v>57</v>
      </c>
      <c r="AN11" s="36"/>
      <c r="AO11" s="36"/>
      <c r="AP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</row>
    <row r="12" spans="1:295" x14ac:dyDescent="0.25">
      <c r="A12" t="e">
        <f ca="1">OFFSET(INDEX(Sheet1!$C$2:$C$25,MATCH(B10,Sheet1!$C$2:$C$25,0)),,1,1,INDEX(Sheet1!$B$2:$B$25,MATCH(B10,Sheet1!$C$2:$C$25,0)))</f>
        <v>#N/A</v>
      </c>
      <c r="B12">
        <f t="shared" si="0"/>
        <v>2</v>
      </c>
      <c r="C12" s="36" t="s">
        <v>5</v>
      </c>
      <c r="D12" s="36" t="s">
        <v>49</v>
      </c>
      <c r="E12" s="36" t="s">
        <v>50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</row>
    <row r="13" spans="1:295" x14ac:dyDescent="0.25">
      <c r="A13" t="e">
        <f ca="1">OFFSET(INDEX(Sheet1!$C$2:$C$25,MATCH(B11,Sheet1!$C$2:$C$25,0)),,1,1,INDEX(Sheet1!$B$2:$B$25,MATCH(B11,Sheet1!$C$2:$C$25,0)))</f>
        <v>#N/A</v>
      </c>
      <c r="B13">
        <f>IF(LEN(C13)=0,"",COUNTA(D13:KI13))</f>
        <v>4</v>
      </c>
      <c r="C13" s="36" t="s">
        <v>4</v>
      </c>
      <c r="D13" s="36" t="s">
        <v>74</v>
      </c>
      <c r="E13" s="36" t="s">
        <v>67</v>
      </c>
      <c r="F13" s="36" t="s">
        <v>66</v>
      </c>
      <c r="G13" s="36" t="s">
        <v>50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</row>
    <row r="14" spans="1:295" x14ac:dyDescent="0.25">
      <c r="A14" t="e">
        <f ca="1">OFFSET(INDEX(Sheet1!$C$2:$C$25,MATCH(B12,Sheet1!$C$2:$C$25,0)),,1,1,INDEX(Sheet1!$B$2:$B$25,MATCH(B12,Sheet1!$C$2:$C$25,0)))</f>
        <v>#N/A</v>
      </c>
      <c r="B14">
        <f t="shared" si="0"/>
        <v>2</v>
      </c>
      <c r="C14" s="36" t="s">
        <v>2</v>
      </c>
      <c r="D14" s="36" t="s">
        <v>44</v>
      </c>
      <c r="E14" s="36" t="s">
        <v>68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</row>
    <row r="15" spans="1:295" x14ac:dyDescent="0.25">
      <c r="A15" t="e">
        <f ca="1">OFFSET(INDEX(Sheet1!$C$2:$C$25,MATCH(B13,Sheet1!$C$2:$C$25,0)),,1,1,INDEX(Sheet1!$B$2:$B$25,MATCH(B13,Sheet1!$C$2:$C$25,0)))</f>
        <v>#N/A</v>
      </c>
      <c r="B15">
        <f t="shared" si="0"/>
        <v>2</v>
      </c>
      <c r="C15" s="36" t="s">
        <v>3</v>
      </c>
      <c r="D15" s="36" t="s">
        <v>14</v>
      </c>
      <c r="E15" s="36" t="s">
        <v>44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</row>
    <row r="16" spans="1:295" x14ac:dyDescent="0.25">
      <c r="A16" t="e">
        <f ca="1">OFFSET(INDEX(Sheet1!$C$2:$C$25,MATCH(B15,Sheet1!$C$2:$C$25,0)),,1,1,INDEX(Sheet1!$B$2:$B$25,MATCH(B15,Sheet1!$C$2:$C$25,0)))</f>
        <v>#N/A</v>
      </c>
      <c r="B16">
        <f t="shared" si="0"/>
        <v>2</v>
      </c>
      <c r="C16" s="36" t="s">
        <v>58</v>
      </c>
      <c r="D16" s="36" t="s">
        <v>49</v>
      </c>
      <c r="E16" s="36" t="s">
        <v>50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</row>
    <row r="17" spans="1:295" x14ac:dyDescent="0.25">
      <c r="A17" t="e">
        <f ca="1">OFFSET(INDEX(Sheet1!$C$2:$C$25,MATCH(#REF!,Sheet1!$C$2:$C$25,0)),,1,1,INDEX(Sheet1!$B$2:$B$25,MATCH(#REF!,Sheet1!$C$2:$C$25,0)))</f>
        <v>#REF!</v>
      </c>
      <c r="B17" t="str">
        <f t="shared" si="0"/>
        <v/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</row>
    <row r="18" spans="1:295" x14ac:dyDescent="0.25">
      <c r="A18" t="e">
        <f ca="1">OFFSET(INDEX(Sheet1!$C$2:$C$25,MATCH(B16,Sheet1!$C$2:$C$25,0)),,1,1,INDEX(Sheet1!$B$2:$B$25,MATCH(B16,Sheet1!$C$2:$C$25,0)))</f>
        <v>#N/A</v>
      </c>
      <c r="B18" t="str">
        <f t="shared" si="0"/>
        <v/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</row>
    <row r="19" spans="1:295" x14ac:dyDescent="0.25">
      <c r="A19" t="e">
        <f ca="1">OFFSET(INDEX(Sheet1!$C$2:$C$25,MATCH(B17,Sheet1!$C$2:$C$25,0)),,1,1,INDEX(Sheet1!$B$2:$B$25,MATCH(B17,Sheet1!$C$2:$C$25,0)))</f>
        <v>#N/A</v>
      </c>
      <c r="B19" t="str">
        <f t="shared" si="0"/>
        <v/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</row>
    <row r="20" spans="1:295" x14ac:dyDescent="0.25">
      <c r="A20" t="e">
        <f ca="1">OFFSET(INDEX(Sheet1!$C$2:$C$25,MATCH(B18,Sheet1!$C$2:$C$25,0)),,1,1,INDEX(Sheet1!$B$2:$B$25,MATCH(B18,Sheet1!$C$2:$C$25,0)))</f>
        <v>#N/A</v>
      </c>
      <c r="B20" t="str">
        <f t="shared" si="0"/>
        <v/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</row>
    <row r="21" spans="1:295" x14ac:dyDescent="0.25">
      <c r="A21" t="e">
        <f ca="1">OFFSET(INDEX(Sheet1!$C$2:$C$25,MATCH(B19,Sheet1!$C$2:$C$25,0)),,1,1,INDEX(Sheet1!$B$2:$B$25,MATCH(B19,Sheet1!$C$2:$C$25,0)))</f>
        <v>#N/A</v>
      </c>
      <c r="B21" t="str">
        <f t="shared" si="0"/>
        <v/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</row>
    <row r="22" spans="1:295" x14ac:dyDescent="0.25">
      <c r="A22" t="e">
        <f ca="1">OFFSET(INDEX(Sheet1!$C$2:$C$25,MATCH(B20,Sheet1!$C$2:$C$25,0)),,1,1,INDEX(Sheet1!$B$2:$B$25,MATCH(B20,Sheet1!$C$2:$C$25,0)))</f>
        <v>#N/A</v>
      </c>
      <c r="B22" t="str">
        <f t="shared" si="0"/>
        <v/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</row>
    <row r="23" spans="1:295" x14ac:dyDescent="0.25">
      <c r="A23" t="e">
        <f ca="1">OFFSET(INDEX(Sheet1!$C$2:$C$25,MATCH(B21,Sheet1!$C$2:$C$25,0)),,1,1,INDEX(Sheet1!$B$2:$B$25,MATCH(B21,Sheet1!$C$2:$C$25,0)))</f>
        <v>#N/A</v>
      </c>
      <c r="B23" t="str">
        <f t="shared" si="0"/>
        <v/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</row>
    <row r="24" spans="1:295" x14ac:dyDescent="0.25">
      <c r="A24" t="e">
        <f ca="1">OFFSET(INDEX(Sheet1!$C$2:$C$25,MATCH(B22,Sheet1!$C$2:$C$25,0)),,1,1,INDEX(Sheet1!$B$2:$B$25,MATCH(B22,Sheet1!$C$2:$C$25,0)))</f>
        <v>#N/A</v>
      </c>
      <c r="B24" t="str">
        <f t="shared" si="0"/>
        <v/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</row>
    <row r="25" spans="1:295" x14ac:dyDescent="0.25">
      <c r="A25" t="e">
        <f ca="1">OFFSET(INDEX(Sheet1!$C$2:$C$25,MATCH(B23,Sheet1!$C$2:$C$25,0)),,1,1,INDEX(Sheet1!$B$2:$B$25,MATCH(B23,Sheet1!$C$2:$C$25,0)))</f>
        <v>#N/A</v>
      </c>
      <c r="B25" t="str">
        <f t="shared" si="0"/>
        <v/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Müşteri için Hesap</vt:lpstr>
      <vt:lpstr>Fiyat Listesi ve Açık Hesap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2025-01-28T07:09:39Z</dcterms:modified>
</cp:coreProperties>
</file>